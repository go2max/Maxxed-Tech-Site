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63482f867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Summary" sheetId="1" r:id="Rd1db012c203d4383"/>
    <x:sheet xmlns:r="http://schemas.openxmlformats.org/officeDocument/2006/relationships" name="Candidate Catalog" sheetId="2" r:id="Re6c2286a2d2b47ac"/>
    <x:sheet xmlns:r="http://schemas.openxmlformats.org/officeDocument/2006/relationships" name="Security &amp; Device Care" sheetId="3" r:id="R9d0daf5e84324fff"/>
    <x:sheet xmlns:r="http://schemas.openxmlformats.org/officeDocument/2006/relationships" name="Security Sector Map" sheetId="4" r:id="Rc49e4f685dbe4855"/>
    <x:sheet xmlns:r="http://schemas.openxmlformats.org/officeDocument/2006/relationships" name="Shared Engines" sheetId="5" r:id="R12d8d8cf9db84d31"/>
    <x:sheet xmlns:r="http://schemas.openxmlformats.org/officeDocument/2006/relationships" name="Review Guide" sheetId="6" r:id="Rb4a3a989df4f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E6E8C"/>
      </x:patternFill>
    </x:fill>
    <x:fill>
      <x:patternFill patternType="solid">
        <x:fgColor rgb="FF2A9D8F"/>
      </x:patternFill>
    </x:fill>
    <x:fill>
      <x:patternFill patternType="solid">
        <x:fgColor rgb="FFEAF2F5"/>
      </x:patternFill>
    </x:fill>
  </x:fills>
  <x:borders count="8">
    <x:border/>
    <x:border>
      <x:left style="thin">
        <x:color rgb="FFCAD5DC"/>
      </x:left>
      <x:right style="thin">
        <x:color rgb="FFCAD5DC"/>
      </x:right>
      <x:top style="thin">
        <x:color rgb="FFCAD5DC"/>
      </x:top>
      <x:bottom style="thin">
        <x:color rgb="FFCAD5DC"/>
      </x:bottom>
    </x:border>
    <x:border>
      <x:left style="thin">
        <x:color rgb="FFCAD5DC"/>
      </x:left>
      <x:top style="thin">
        <x:color rgb="FFCAD5DC"/>
      </x:top>
    </x:border>
    <x:border>
      <x:top style="thin">
        <x:color rgb="FFCAD5DC"/>
      </x:top>
    </x:border>
    <x:border>
      <x:right style="thin">
        <x:color rgb="FFCAD5DC"/>
      </x:right>
      <x:top style="thin">
        <x:color rgb="FFCAD5DC"/>
      </x:top>
    </x:border>
    <x:border>
      <x:left style="thin">
        <x:color rgb="FFCAD5DC"/>
      </x:left>
      <x:bottom style="thin">
        <x:color rgb="FFCAD5DC"/>
      </x:bottom>
    </x:border>
    <x:border>
      <x:bottom style="thin">
        <x:color rgb="FFCAD5DC"/>
      </x:bottom>
    </x:border>
    <x:border>
      <x:right style="thin">
        <x:color rgb="FFCAD5DC"/>
      </x:right>
      <x:bottom style="thin">
        <x:color rgb="FFCAD5DC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7324D"/>
      </x:font>
      <x:fill>
        <x:patternFill patternType="solid">
          <x:bgColor rgb="FFFFF4CC"/>
        </x:patternFill>
      </x:fill>
    </x:dxf>
    <x:dxf>
      <x:font>
        <x:b/>
        <x:color rgb="FF176B54"/>
      </x:font>
      <x:fill>
        <x:patternFill patternType="solid">
          <x:bgColor rgb="FFDDF4EA"/>
        </x:patternFill>
      </x:fill>
    </x:dxf>
    <x:dxf>
      <x:font>
        <x:color rgb="FF9B2C2C"/>
      </x:font>
      <x:fill>
        <x:patternFill patternType="solid">
          <x:bgColor rgb="FFFCE2E0"/>
        </x:patternFill>
      </x:fill>
    </x:dxf>
    <x:dxf>
      <x:font>
        <x:b/>
        <x:color rgb="FF176B54"/>
      </x:font>
      <x:fill>
        <x:patternFill patternType="solid">
          <x:bgColor rgb="FFDDF4EA"/>
        </x:patternFill>
      </x:fill>
    </x:dxf>
    <x:dxf>
      <x:font>
        <x:color rgb="FF9B2C2C"/>
      </x:font>
      <x:fill>
        <x:patternFill patternType="solid">
          <x:bgColor rgb="FFFCE2E0"/>
        </x:patternFill>
      </x:fill>
    </x:dxf>
    <x:dxf>
      <x:font>
        <x:b/>
        <x:color rgb="FF176B54"/>
      </x:font>
      <x:fill>
        <x:patternFill patternType="solid">
          <x:bgColor rgb="FFDDF4EA"/>
        </x:patternFill>
      </x:fill>
    </x:dxf>
    <x:dxf>
      <x:font>
        <x:color rgb="FF9B2C2C"/>
      </x:font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6743846284902" /><Relationship Type="http://schemas.openxmlformats.org/officeDocument/2006/relationships/theme" Target="/xl/theme/theme1.xml" Id="R705598c9b9e14709" /><Relationship Type="http://schemas.openxmlformats.org/officeDocument/2006/relationships/sharedStrings" Target="/xl/sharedStrings.xml" Id="R89cfc6ffa1c64d72" /><Relationship Type="http://schemas.openxmlformats.org/officeDocument/2006/relationships/worksheet" Target="/xl/worksheets/sheet1.xml" Id="Rd1db012c203d4383" /><Relationship Type="http://schemas.openxmlformats.org/officeDocument/2006/relationships/worksheet" Target="/xl/worksheets/sheet2.xml" Id="Re6c2286a2d2b47ac" /><Relationship Type="http://schemas.openxmlformats.org/officeDocument/2006/relationships/worksheet" Target="/xl/worksheets/sheet3.xml" Id="R9d0daf5e84324fff" /><Relationship Type="http://schemas.openxmlformats.org/officeDocument/2006/relationships/worksheet" Target="/xl/worksheets/sheet4.xml" Id="Rc49e4f685dbe4855" /><Relationship Type="http://schemas.openxmlformats.org/officeDocument/2006/relationships/worksheet" Target="/xl/worksheets/sheet5.xml" Id="R12d8d8cf9db84d31" /><Relationship Type="http://schemas.openxmlformats.org/officeDocument/2006/relationships/worksheet" Target="/xl/worksheets/sheet6.xml" Id="Rb4a3a989df4f4e64" /></Relationships>
</file>

<file path=xl/tables/table1.xml><?xml version="1.0" encoding="utf-8"?>
<x:table xmlns:x="http://schemas.openxmlformats.org/spreadsheetml/2006/main" id="1" name="ProductCandidates" displayName="ProductCandidates" ref="A1:U913" headerRowCount="1">
  <x:tableColumns count="21">
    <x:tableColumn id="1" name="ID"/>
    <x:tableColumn id="2" name="Product Name"/>
    <x:tableColumn id="3" name="Family"/>
    <x:tableColumn id="4" name="Format"/>
    <x:tableColumn id="5" name="Primary User"/>
    <x:tableColumn id="6" name="Core Function"/>
    <x:tableColumn id="7" name="Shared Engines"/>
    <x:tableColumn id="8" name="Monetization"/>
    <x:tableColumn id="9" name="Build Size"/>
    <x:tableColumn id="10" name="Origin"/>
    <x:tableColumn id="11" name="Decision"/>
    <x:tableColumn id="12" name="Demand 1-5"/>
    <x:tableColumn id="13" name="Differentiation 1-5"/>
    <x:tableColumn id="14" name="Monetization 1-5"/>
    <x:tableColumn id="15" name="SDK Reuse 1-5"/>
    <x:tableColumn id="16" name="Maintenance Ease 1-5"/>
    <x:tableColumn id="17" name="Weighted Score"/>
    <x:tableColumn id="18" name="Review Notes"/>
    <x:tableColumn id="19" name="Merge/Suite Target"/>
    <x:tableColumn id="20" name="Owner"/>
    <x:tableColumn id="21" name="Review Date"/>
  </x:tableColumns>
  <x:tableStyleInfo name="TableStyleMedium2" showRowStripes="1"/>
</x:table>
</file>

<file path=xl/tables/table2.xml><?xml version="1.0" encoding="utf-8"?>
<x:table xmlns:x="http://schemas.openxmlformats.org/spreadsheetml/2006/main" id="2" name="SecurityDeviceCarePlan" displayName="SecurityDeviceCarePlan" ref="A6:H30" headerRowCount="1">
  <x:tableColumns count="8">
    <x:tableColumn id="1" name="Product"/>
    <x:tableColumn id="2" name="Family"/>
    <x:tableColumn id="3" name="Best first platform"/>
    <x:tableColumn id="4" name="Practical MVP"/>
    <x:tableColumn id="5" name="Feasibility"/>
    <x:tableColumn id="6" name="Primary constraint"/>
    <x:tableColumn id="7" name="Recommended phase"/>
    <x:tableColumn id="8" name="Effort"/>
  </x:tableColumns>
  <x:tableStyleInfo name="TableStyleMedium2" showRowStripes="1"/>
</x:table>
</file>

<file path=xl/tables/table3.xml><?xml version="1.0" encoding="utf-8"?>
<x:table xmlns:x="http://schemas.openxmlformats.org/spreadsheetml/2006/main" id="3" name="SecuritySectorFamilies" displayName="SecuritySectorFamilies" ref="A6:E31" headerRowCount="1">
  <x:tableColumns count="5">
    <x:tableColumn id="1" name="Family"/>
    <x:tableColumn id="2" name="Primary wedge"/>
    <x:tableColumn id="3" name="Recommended phase"/>
    <x:tableColumn id="4" name="Typical effort"/>
    <x:tableColumn id="5" name="Critical product boundary"/>
  </x:tableColumns>
  <x:tableStyleInfo name="TableStyleMedium2" showRowStripes="1"/>
</x:table>
</file>

<file path=xl/tables/table4.xml><?xml version="1.0" encoding="utf-8"?>
<x:table xmlns:x="http://schemas.openxmlformats.org/spreadsheetml/2006/main" id="4" name="SharedEngineMap" displayName="SharedEngineMap" ref="A1:C25" headerRowCount="1">
  <x:tableColumns count="3">
    <x:tableColumn id="1" name="Shared engine"/>
    <x:tableColumn id="2" name="Primary capabilities"/>
    <x:tableColumn id="3" name="Likely consumers"/>
  </x:tableColumns>
  <x:tableStyleInfo name="TableStyleMedium2" showRowStripes="1"/>
</x:table>
</file>

<file path=xl/tables/table5.xml><?xml version="1.0" encoding="utf-8"?>
<x:table xmlns:x="http://schemas.openxmlformats.org/spreadsheetml/2006/main" id="5" name="ReviewScoringGuide" displayName="ReviewScoringGuide" ref="A1:C20" headerRowCount="1">
  <x:tableColumns count="3">
    <x:tableColumn id="1" name="Review field"/>
    <x:tableColumn id="2" name="Score / choice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c81723cc2f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00ffcbf01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f772308eab45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baa0e65cc341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40af3e201947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Maxxed Product Candidate Portfolio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Portfolio metric</x:v>
      </x:c>
      <x:c r="B4" s="5" t="str">
        <x:v>Value</x:v>
      </x:c>
    </x:row>
    <x:row r="5">
      <x:c r="A5" s="6" t="str">
        <x:v>Total candidates</x:v>
      </x:c>
      <x:c r="B5" s="6" t="n">
        <x:f>COUNTA('Candidate Catalog'!A2:A913)</x:f>
        <x:v>912</x:v>
      </x:c>
    </x:row>
    <x:row r="6">
      <x:c r="A6" s="6" t="str">
        <x:v>Product families</x:v>
      </x:c>
      <x:c r="B6" s="6" t="n">
        <x:v>76</x:v>
      </x:c>
    </x:row>
    <x:row r="7">
      <x:c r="A7" s="6" t="str">
        <x:v>Previously discussed</x:v>
      </x:c>
      <x:c r="B7" s="6" t="n">
        <x:f>COUNTIF('Candidate Catalog'!J2:J913,"Existing discussion/project")</x:f>
        <x:v>14</x:v>
      </x:c>
    </x:row>
    <x:row r="8">
      <x:c r="A8" s="6" t="str">
        <x:v>Approved to build</x:v>
      </x:c>
      <x:c r="B8" s="6" t="n">
        <x:f>COUNTIF('Candidate Catalog'!K2:K913,"Build")</x:f>
        <x:v>0</x:v>
      </x:c>
    </x:row>
    <x:row r="9">
      <x:c r="A9" s="6" t="str">
        <x:v>Waiting</x:v>
      </x:c>
      <x:c r="B9" s="6" t="n">
        <x:f>COUNTIF('Candidate Catalog'!K2:K913,"Wait")</x:f>
        <x:v>0</x:v>
      </x:c>
    </x:row>
    <x:row r="10">
      <x:c r="A10" s="6" t="str">
        <x:v>Passed</x:v>
      </x:c>
      <x:c r="B10" s="6" t="n">
        <x:f>COUNTIF('Candidate Catalog'!K2:K913,"Pass")</x:f>
        <x:v>0</x:v>
      </x:c>
    </x:row>
    <x:row r="12">
      <x:c r="A12" s="8" t="str">
        <x:v>Recommended workflow</x:v>
      </x:c>
      <x:c r="B12" s="8" t="str"/>
      <x:c r="C12" s="8" t="str"/>
      <x:c r="D12" s="8" t="str"/>
      <x:c r="E12" s="8" t="str"/>
      <x:c r="F12" s="8" t="str"/>
      <x:c r="G12" s="8" t="str"/>
      <x:c r="H12" s="8" t="str"/>
    </x:row>
    <x:row r="13">
      <x:c r="A13" s="13" t="str">
        <x:v>1</x:v>
      </x:c>
      <x:c r="B13" s="11" t="str">
        <x:v>Filter by family and product format.</x:v>
      </x:c>
      <x:c r="C13" s="11" t="str"/>
      <x:c r="D13" s="11" t="str"/>
      <x:c r="E13" s="11" t="str"/>
      <x:c r="F13" s="11" t="str"/>
      <x:c r="G13" s="11" t="str"/>
      <x:c r="H13" s="11" t="str"/>
    </x:row>
    <x:row r="14">
      <x:c r="A14" s="13" t="str">
        <x:v>2</x:v>
      </x:c>
      <x:c r="B14" s="11" t="str">
        <x:v>Score demand, differentiation, monetization, reuse, and maintenance ease from 1 to 5.</x:v>
      </x:c>
      <x:c r="C14" s="11" t="str"/>
      <x:c r="D14" s="11" t="str"/>
      <x:c r="E14" s="11" t="str"/>
      <x:c r="F14" s="11" t="str"/>
      <x:c r="G14" s="11" t="str"/>
      <x:c r="H14" s="11" t="str"/>
    </x:row>
    <x:row r="15">
      <x:c r="A15" s="13" t="str">
        <x:v>3</x:v>
      </x:c>
      <x:c r="B15" s="11" t="str">
        <x:v>Choose Build, Wait, Merge, or Pass. Add a merge target where products should become one suite.</x:v>
      </x:c>
      <x:c r="C15" s="11" t="str"/>
      <x:c r="D15" s="11" t="str"/>
      <x:c r="E15" s="11" t="str"/>
      <x:c r="F15" s="11" t="str"/>
      <x:c r="G15" s="11" t="str"/>
      <x:c r="H15" s="11" t="str"/>
    </x:row>
    <x:row r="16">
      <x:c r="A16" s="13" t="str">
        <x:v>4</x:v>
      </x:c>
      <x:c r="B16" s="11" t="str">
        <x:v>After the shared-library audit, update Shared Engines and Build Size before final prioritization.</x:v>
      </x:c>
      <x:c r="C16" s="11" t="str"/>
      <x:c r="D16" s="11" t="str"/>
      <x:c r="E16" s="11" t="str"/>
      <x:c r="F16" s="11" t="str"/>
      <x:c r="G16" s="11" t="str"/>
      <x:c r="H16" s="11" t="str"/>
    </x:row>
  </x:sheetData>
  <x:mergeCells>
    <x:mergeCell ref="A1:H2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18" hidden="0" customWidth="1"/>
    <x:col min="5" max="5" width="24" hidden="0" customWidth="1"/>
    <x:col min="6" max="6" width="43" hidden="0" customWidth="1"/>
    <x:col min="7" max="7" width="38" hidden="0" customWidth="1"/>
    <x:col min="8" max="8" width="18" hidden="0" customWidth="1"/>
    <x:col min="9" max="9" width="12" hidden="0" customWidth="1"/>
    <x:col min="10" max="10" width="22" hidden="0" customWidth="1"/>
    <x:col min="11" max="11" width="14" hidden="0" customWidth="1"/>
    <x:col min="12" max="12" width="13" hidden="0" customWidth="1"/>
    <x:col min="13" max="13" width="17" hidden="0" customWidth="1"/>
    <x:col min="14" max="14" width="16" hidden="0" customWidth="1"/>
    <x:col min="15" max="15" width="13" hidden="0" customWidth="1"/>
    <x:col min="16" max="16" width="19" hidden="0" customWidth="1"/>
    <x:col min="17" max="17" width="15" hidden="0" customWidth="1"/>
    <x:col min="18" max="18" width="36" hidden="0" customWidth="1"/>
    <x:col min="19" max="19" width="28" hidden="0" customWidth="1"/>
    <x:col min="20" max="20" width="16" hidden="0" customWidth="1"/>
    <x:col min="21" max="21" width="14" hidden="0" customWidth="1"/>
  </x:cols>
  <x:sheetData>
    <x:row r="1">
      <x:c r="A1" s="16" t="str">
        <x:v>ID</x:v>
      </x:c>
      <x:c r="B1" s="16" t="str">
        <x:v>Product Name</x:v>
      </x:c>
      <x:c r="C1" s="16" t="str">
        <x:v>Family</x:v>
      </x:c>
      <x:c r="D1" s="16" t="str">
        <x:v>Format</x:v>
      </x:c>
      <x:c r="E1" s="16" t="str">
        <x:v>Primary User</x:v>
      </x:c>
      <x:c r="F1" s="16" t="str">
        <x:v>Core Function</x:v>
      </x:c>
      <x:c r="G1" s="16" t="str">
        <x:v>Shared Engines</x:v>
      </x:c>
      <x:c r="H1" s="16" t="str">
        <x:v>Monetization</x:v>
      </x:c>
      <x:c r="I1" s="16" t="str">
        <x:v>Build Size</x:v>
      </x:c>
      <x:c r="J1" s="16" t="str">
        <x:v>Origin</x:v>
      </x:c>
      <x:c r="K1" s="16" t="str">
        <x:v>Decision</x:v>
      </x:c>
      <x:c r="L1" s="16" t="str">
        <x:v>Demand 1-5</x:v>
      </x:c>
      <x:c r="M1" s="16" t="str">
        <x:v>Differentiation 1-5</x:v>
      </x:c>
      <x:c r="N1" s="16" t="str">
        <x:v>Monetization 1-5</x:v>
      </x:c>
      <x:c r="O1" s="16" t="str">
        <x:v>SDK Reuse 1-5</x:v>
      </x:c>
      <x:c r="P1" s="16" t="str">
        <x:v>Maintenance Ease 1-5</x:v>
      </x:c>
      <x:c r="Q1" s="16" t="str">
        <x:v>Weighted Score</x:v>
      </x:c>
      <x:c r="R1" s="16" t="str">
        <x:v>Review Notes</x:v>
      </x:c>
      <x:c r="S1" s="16" t="str">
        <x:v>Merge/Suite Target</x:v>
      </x:c>
      <x:c r="T1" s="16" t="str">
        <x:v>Owner</x:v>
      </x:c>
      <x:c r="U1" s="16" t="str">
        <x:v>Review Date</x:v>
      </x:c>
    </x:row>
    <x:row r="2">
      <x:c r="A2" s="17" t="str">
        <x:v>MTS-0001</x:v>
      </x:c>
      <x:c r="B2" s="17" t="str">
        <x:v>Concrete Pour Estimator</x:v>
      </x:c>
      <x:c r="C2" s="17" t="str">
        <x:v>Construction Estimators</x:v>
      </x:c>
      <x:c r="D2" s="17" t="str">
        <x:v>Mobile App</x:v>
      </x:c>
      <x:c r="E2" s="17" t="str">
        <x:v>Contractors and DIY</x:v>
      </x:c>
      <x:c r="F2" s="18" t="str">
        <x:v>Concrete Pour Estimator provides a focused construction estimators workflow for contractors and diy.</x:v>
      </x:c>
      <x:c r="G2" s="18" t="str">
        <x:v>Estimator, Units, Storage, Export</x:v>
      </x:c>
      <x:c r="H2" s="17" t="str">
        <x:v>Ads + Pro</x:v>
      </x:c>
      <x:c r="I2" s="17" t="str">
        <x:v>Small</x:v>
      </x:c>
      <x:c r="J2" s="17" t="str">
        <x:v>New candidate</x:v>
      </x:c>
      <x:c r="K2" s="17" t="str">
        <x:v>Unreviewed</x:v>
      </x:c>
      <x:c r="L2" s="17"/>
      <x:c r="M2" s="17"/>
      <x:c r="N2" s="17"/>
      <x:c r="O2" s="17"/>
      <x:c r="P2" s="17"/>
      <x:c r="Q2" s="17" t="str">
        <x:f>IF(COUNT(L2:P2)&lt;5,"",ROUND((L2*25+M2*20+N2*20+O2*20+P2*15)/5,1))</x:f>
      </x:c>
      <x:c r="R2" s="18" t="str"/>
      <x:c r="S2" s="18" t="str"/>
      <x:c r="T2" s="17" t="str"/>
      <x:c r="U2" s="19"/>
    </x:row>
    <x:row r="3">
      <x:c r="A3" s="17" t="str">
        <x:v>MTS-0002</x:v>
      </x:c>
      <x:c r="B3" s="17" t="str">
        <x:v>Gravel and Rock Estimator</x:v>
      </x:c>
      <x:c r="C3" s="17" t="str">
        <x:v>Construction Estimators</x:v>
      </x:c>
      <x:c r="D3" s="17" t="str">
        <x:v>Mobile App</x:v>
      </x:c>
      <x:c r="E3" s="17" t="str">
        <x:v>Contractors and DIY</x:v>
      </x:c>
      <x:c r="F3" s="18" t="str">
        <x:v>Gravel and Rock Estimator provides a focused construction estimators workflow for contractors and diy.</x:v>
      </x:c>
      <x:c r="G3" s="18" t="str">
        <x:v>Estimator, Units, Storage, Export</x:v>
      </x:c>
      <x:c r="H3" s="17" t="str">
        <x:v>Ads + Pro</x:v>
      </x:c>
      <x:c r="I3" s="17" t="str">
        <x:v>Small</x:v>
      </x:c>
      <x:c r="J3" s="17" t="str">
        <x:v>New candidate</x:v>
      </x:c>
      <x:c r="K3" s="17" t="str">
        <x:v>Unreviewed</x:v>
      </x:c>
      <x:c r="L3" s="17"/>
      <x:c r="M3" s="17"/>
      <x:c r="N3" s="17"/>
      <x:c r="O3" s="17"/>
      <x:c r="P3" s="17"/>
      <x:c r="Q3" s="17" t="str">
        <x:f>IF(COUNT(L3:P3)&lt;5,"",ROUND((L3*25+M3*20+N3*20+O3*20+P3*15)/5,1))</x:f>
      </x:c>
      <x:c r="R3" s="18" t="str"/>
      <x:c r="S3" s="18" t="str"/>
      <x:c r="T3" s="17" t="str"/>
      <x:c r="U3" s="19"/>
    </x:row>
    <x:row r="4">
      <x:c r="A4" s="17" t="str">
        <x:v>MTS-0003</x:v>
      </x:c>
      <x:c r="B4" s="17" t="str">
        <x:v>Fence Post Planner</x:v>
      </x:c>
      <x:c r="C4" s="17" t="str">
        <x:v>Construction Estimators</x:v>
      </x:c>
      <x:c r="D4" s="17" t="str">
        <x:v>Mobile App</x:v>
      </x:c>
      <x:c r="E4" s="17" t="str">
        <x:v>Contractors and DIY</x:v>
      </x:c>
      <x:c r="F4" s="18" t="str">
        <x:v>Fence Post Planner provides a focused construction estimators workflow for contractors and diy.</x:v>
      </x:c>
      <x:c r="G4" s="18" t="str">
        <x:v>Estimator, Units, Storage, Export</x:v>
      </x:c>
      <x:c r="H4" s="17" t="str">
        <x:v>Ads + Pro</x:v>
      </x:c>
      <x:c r="I4" s="17" t="str">
        <x:v>Small</x:v>
      </x:c>
      <x:c r="J4" s="17" t="str">
        <x:v>New candidate</x:v>
      </x:c>
      <x:c r="K4" s="17" t="str">
        <x:v>Unreviewed</x:v>
      </x:c>
      <x:c r="L4" s="17"/>
      <x:c r="M4" s="17"/>
      <x:c r="N4" s="17"/>
      <x:c r="O4" s="17"/>
      <x:c r="P4" s="17"/>
      <x:c r="Q4" s="17" t="str">
        <x:f>IF(COUNT(L4:P4)&lt;5,"",ROUND((L4*25+M4*20+N4*20+O4*20+P4*15)/5,1))</x:f>
      </x:c>
      <x:c r="R4" s="18" t="str"/>
      <x:c r="S4" s="18" t="str"/>
      <x:c r="T4" s="17" t="str"/>
      <x:c r="U4" s="19"/>
    </x:row>
    <x:row r="5">
      <x:c r="A5" s="17" t="str">
        <x:v>MTS-0004</x:v>
      </x:c>
      <x:c r="B5" s="17" t="str">
        <x:v>Firewood Stack Calculator</x:v>
      </x:c>
      <x:c r="C5" s="17" t="str">
        <x:v>Construction Estimators</x:v>
      </x:c>
      <x:c r="D5" s="17" t="str">
        <x:v>Mobile App</x:v>
      </x:c>
      <x:c r="E5" s="17" t="str">
        <x:v>Contractors and DIY</x:v>
      </x:c>
      <x:c r="F5" s="18" t="str">
        <x:v>Firewood Stack Calculator provides a focused construction estimators workflow for contractors and diy.</x:v>
      </x:c>
      <x:c r="G5" s="18" t="str">
        <x:v>Estimator, Units, Storage, Export</x:v>
      </x:c>
      <x:c r="H5" s="17" t="str">
        <x:v>Ads + Pro</x:v>
      </x:c>
      <x:c r="I5" s="17" t="str">
        <x:v>Small</x:v>
      </x:c>
      <x:c r="J5" s="17" t="str">
        <x:v>New candidate</x:v>
      </x:c>
      <x:c r="K5" s="17" t="str">
        <x:v>Unreviewed</x:v>
      </x:c>
      <x:c r="L5" s="17"/>
      <x:c r="M5" s="17"/>
      <x:c r="N5" s="17"/>
      <x:c r="O5" s="17"/>
      <x:c r="P5" s="17"/>
      <x:c r="Q5" s="17" t="str">
        <x:f>IF(COUNT(L5:P5)&lt;5,"",ROUND((L5*25+M5*20+N5*20+O5*20+P5*15)/5,1))</x:f>
      </x:c>
      <x:c r="R5" s="18" t="str"/>
      <x:c r="S5" s="18" t="str"/>
      <x:c r="T5" s="17" t="str"/>
      <x:c r="U5" s="19"/>
    </x:row>
    <x:row r="6">
      <x:c r="A6" s="17" t="str">
        <x:v>MTS-0005</x:v>
      </x:c>
      <x:c r="B6" s="17" t="str">
        <x:v>Roofing Material Estimator</x:v>
      </x:c>
      <x:c r="C6" s="17" t="str">
        <x:v>Construction Estimators</x:v>
      </x:c>
      <x:c r="D6" s="17" t="str">
        <x:v>Mobile App</x:v>
      </x:c>
      <x:c r="E6" s="17" t="str">
        <x:v>Contractors and DIY</x:v>
      </x:c>
      <x:c r="F6" s="18" t="str">
        <x:v>Roofing Material Estimator provides a focused construction estimators workflow for contractors and diy.</x:v>
      </x:c>
      <x:c r="G6" s="18" t="str">
        <x:v>Estimator, Units, Storage, Export</x:v>
      </x:c>
      <x:c r="H6" s="17" t="str">
        <x:v>Ads + Pro</x:v>
      </x:c>
      <x:c r="I6" s="17" t="str">
        <x:v>Small</x:v>
      </x:c>
      <x:c r="J6" s="17" t="str">
        <x:v>New candidate</x:v>
      </x:c>
      <x:c r="K6" s="17" t="str">
        <x:v>Unreviewed</x:v>
      </x:c>
      <x:c r="L6" s="17"/>
      <x:c r="M6" s="17"/>
      <x:c r="N6" s="17"/>
      <x:c r="O6" s="17"/>
      <x:c r="P6" s="17"/>
      <x:c r="Q6" s="17" t="str">
        <x:f>IF(COUNT(L6:P6)&lt;5,"",ROUND((L6*25+M6*20+N6*20+O6*20+P6*15)/5,1))</x:f>
      </x:c>
      <x:c r="R6" s="18" t="str"/>
      <x:c r="S6" s="18" t="str"/>
      <x:c r="T6" s="17" t="str"/>
      <x:c r="U6" s="19"/>
    </x:row>
    <x:row r="7">
      <x:c r="A7" s="17" t="str">
        <x:v>MTS-0006</x:v>
      </x:c>
      <x:c r="B7" s="17" t="str">
        <x:v>Paint Coverage Estimator</x:v>
      </x:c>
      <x:c r="C7" s="17" t="str">
        <x:v>Construction Estimators</x:v>
      </x:c>
      <x:c r="D7" s="17" t="str">
        <x:v>Mobile App</x:v>
      </x:c>
      <x:c r="E7" s="17" t="str">
        <x:v>Contractors and DIY</x:v>
      </x:c>
      <x:c r="F7" s="18" t="str">
        <x:v>Paint Coverage Estimator provides a focused construction estimators workflow for contractors and diy.</x:v>
      </x:c>
      <x:c r="G7" s="18" t="str">
        <x:v>Estimator, Units, Storage, Export</x:v>
      </x:c>
      <x:c r="H7" s="17" t="str">
        <x:v>Ads + Pro</x:v>
      </x:c>
      <x:c r="I7" s="17" t="str">
        <x:v>Small</x:v>
      </x:c>
      <x:c r="J7" s="17" t="str">
        <x:v>New candidate</x:v>
      </x:c>
      <x:c r="K7" s="17" t="str">
        <x:v>Unreviewed</x:v>
      </x:c>
      <x:c r="L7" s="17"/>
      <x:c r="M7" s="17"/>
      <x:c r="N7" s="17"/>
      <x:c r="O7" s="17"/>
      <x:c r="P7" s="17"/>
      <x:c r="Q7" s="17" t="str">
        <x:f>IF(COUNT(L7:P7)&lt;5,"",ROUND((L7*25+M7*20+N7*20+O7*20+P7*15)/5,1))</x:f>
      </x:c>
      <x:c r="R7" s="18" t="str"/>
      <x:c r="S7" s="18" t="str"/>
      <x:c r="T7" s="17" t="str"/>
      <x:c r="U7" s="19"/>
    </x:row>
    <x:row r="8">
      <x:c r="A8" s="17" t="str">
        <x:v>MTS-0007</x:v>
      </x:c>
      <x:c r="B8" s="17" t="str">
        <x:v>Flooring and Tile Estimator</x:v>
      </x:c>
      <x:c r="C8" s="17" t="str">
        <x:v>Construction Estimators</x:v>
      </x:c>
      <x:c r="D8" s="17" t="str">
        <x:v>Mobile App</x:v>
      </x:c>
      <x:c r="E8" s="17" t="str">
        <x:v>Contractors and DIY</x:v>
      </x:c>
      <x:c r="F8" s="18" t="str">
        <x:v>Flooring and Tile Estimator provides a focused construction estimators workflow for contractors and diy.</x:v>
      </x:c>
      <x:c r="G8" s="18" t="str">
        <x:v>Estimator, Units, Storage, Export</x:v>
      </x:c>
      <x:c r="H8" s="17" t="str">
        <x:v>Ads + Pro</x:v>
      </x:c>
      <x:c r="I8" s="17" t="str">
        <x:v>Small</x:v>
      </x:c>
      <x:c r="J8" s="17" t="str">
        <x:v>New candidate</x:v>
      </x:c>
      <x:c r="K8" s="17" t="str">
        <x:v>Unreviewed</x:v>
      </x:c>
      <x:c r="L8" s="17"/>
      <x:c r="M8" s="17"/>
      <x:c r="N8" s="17"/>
      <x:c r="O8" s="17"/>
      <x:c r="P8" s="17"/>
      <x:c r="Q8" s="17" t="str">
        <x:f>IF(COUNT(L8:P8)&lt;5,"",ROUND((L8*25+M8*20+N8*20+O8*20+P8*15)/5,1))</x:f>
      </x:c>
      <x:c r="R8" s="18" t="str"/>
      <x:c r="S8" s="18" t="str"/>
      <x:c r="T8" s="17" t="str"/>
      <x:c r="U8" s="19"/>
    </x:row>
    <x:row r="9">
      <x:c r="A9" s="17" t="str">
        <x:v>MTS-0008</x:v>
      </x:c>
      <x:c r="B9" s="17" t="str">
        <x:v>Drywall Sheet Estimator</x:v>
      </x:c>
      <x:c r="C9" s="17" t="str">
        <x:v>Construction Estimators</x:v>
      </x:c>
      <x:c r="D9" s="17" t="str">
        <x:v>Mobile App</x:v>
      </x:c>
      <x:c r="E9" s="17" t="str">
        <x:v>Contractors and DIY</x:v>
      </x:c>
      <x:c r="F9" s="18" t="str">
        <x:v>Drywall Sheet Estimator provides a focused construction estimators workflow for contractors and diy.</x:v>
      </x:c>
      <x:c r="G9" s="18" t="str">
        <x:v>Estimator, Units, Storage, Export</x:v>
      </x:c>
      <x:c r="H9" s="17" t="str">
        <x:v>Ads + Pro</x:v>
      </x:c>
      <x:c r="I9" s="17" t="str">
        <x:v>Small</x:v>
      </x:c>
      <x:c r="J9" s="17" t="str">
        <x:v>New candidate</x:v>
      </x:c>
      <x:c r="K9" s="17" t="str">
        <x:v>Unreviewed</x:v>
      </x:c>
      <x:c r="L9" s="17"/>
      <x:c r="M9" s="17"/>
      <x:c r="N9" s="17"/>
      <x:c r="O9" s="17"/>
      <x:c r="P9" s="17"/>
      <x:c r="Q9" s="17" t="str">
        <x:f>IF(COUNT(L9:P9)&lt;5,"",ROUND((L9*25+M9*20+N9*20+O9*20+P9*15)/5,1))</x:f>
      </x:c>
      <x:c r="R9" s="18" t="str"/>
      <x:c r="S9" s="18" t="str"/>
      <x:c r="T9" s="17" t="str"/>
      <x:c r="U9" s="19"/>
    </x:row>
    <x:row r="10">
      <x:c r="A10" s="17" t="str">
        <x:v>MTS-0009</x:v>
      </x:c>
      <x:c r="B10" s="17" t="str">
        <x:v>Mulch and Soil Estimator</x:v>
      </x:c>
      <x:c r="C10" s="17" t="str">
        <x:v>Construction Estimators</x:v>
      </x:c>
      <x:c r="D10" s="17" t="str">
        <x:v>Mobile App</x:v>
      </x:c>
      <x:c r="E10" s="17" t="str">
        <x:v>Contractors and DIY</x:v>
      </x:c>
      <x:c r="F10" s="18" t="str">
        <x:v>Mulch and Soil Estimator provides a focused construction estimators workflow for contractors and diy.</x:v>
      </x:c>
      <x:c r="G10" s="18" t="str">
        <x:v>Estimator, Units, Storage, Export</x:v>
      </x:c>
      <x:c r="H10" s="17" t="str">
        <x:v>Ads + Pro</x:v>
      </x:c>
      <x:c r="I10" s="17" t="str">
        <x:v>Small</x:v>
      </x:c>
      <x:c r="J10" s="17" t="str">
        <x:v>New candidate</x:v>
      </x:c>
      <x:c r="K10" s="17" t="str">
        <x:v>Unreviewed</x:v>
      </x:c>
      <x:c r="L10" s="17"/>
      <x:c r="M10" s="17"/>
      <x:c r="N10" s="17"/>
      <x:c r="O10" s="17"/>
      <x:c r="P10" s="17"/>
      <x:c r="Q10" s="17" t="str">
        <x:f>IF(COUNT(L10:P10)&lt;5,"",ROUND((L10*25+M10*20+N10*20+O10*20+P10*15)/5,1))</x:f>
      </x:c>
      <x:c r="R10" s="18" t="str"/>
      <x:c r="S10" s="18" t="str"/>
      <x:c r="T10" s="17" t="str"/>
      <x:c r="U10" s="19"/>
    </x:row>
    <x:row r="11">
      <x:c r="A11" s="17" t="str">
        <x:v>MTS-0010</x:v>
      </x:c>
      <x:c r="B11" s="17" t="str">
        <x:v>Paver Project Estimator</x:v>
      </x:c>
      <x:c r="C11" s="17" t="str">
        <x:v>Construction Estimators</x:v>
      </x:c>
      <x:c r="D11" s="17" t="str">
        <x:v>Mobile App</x:v>
      </x:c>
      <x:c r="E11" s="17" t="str">
        <x:v>Contractors and DIY</x:v>
      </x:c>
      <x:c r="F11" s="18" t="str">
        <x:v>Paver Project Estimator provides a focused construction estimators workflow for contractors and diy.</x:v>
      </x:c>
      <x:c r="G11" s="18" t="str">
        <x:v>Estimator, Units, Storage, Export</x:v>
      </x:c>
      <x:c r="H11" s="17" t="str">
        <x:v>Ads + Pro</x:v>
      </x:c>
      <x:c r="I11" s="17" t="str">
        <x:v>Small</x:v>
      </x:c>
      <x:c r="J11" s="17" t="str">
        <x:v>New candidate</x:v>
      </x:c>
      <x:c r="K11" s="17" t="str">
        <x:v>Unreviewed</x:v>
      </x:c>
      <x:c r="L11" s="17"/>
      <x:c r="M11" s="17"/>
      <x:c r="N11" s="17"/>
      <x:c r="O11" s="17"/>
      <x:c r="P11" s="17"/>
      <x:c r="Q11" s="17" t="str">
        <x:f>IF(COUNT(L11:P11)&lt;5,"",ROUND((L11*25+M11*20+N11*20+O11*20+P11*15)/5,1))</x:f>
      </x:c>
      <x:c r="R11" s="18" t="str"/>
      <x:c r="S11" s="18" t="str"/>
      <x:c r="T11" s="17" t="str"/>
      <x:c r="U11" s="19"/>
    </x:row>
    <x:row r="12">
      <x:c r="A12" s="17" t="str">
        <x:v>MTS-0011</x:v>
      </x:c>
      <x:c r="B12" s="17" t="str">
        <x:v>Insulation Estimator</x:v>
      </x:c>
      <x:c r="C12" s="17" t="str">
        <x:v>Construction Estimators</x:v>
      </x:c>
      <x:c r="D12" s="17" t="str">
        <x:v>Mobile App</x:v>
      </x:c>
      <x:c r="E12" s="17" t="str">
        <x:v>Contractors and DIY</x:v>
      </x:c>
      <x:c r="F12" s="18" t="str">
        <x:v>Insulation Estimator provides a focused construction estimators workflow for contractors and diy.</x:v>
      </x:c>
      <x:c r="G12" s="18" t="str">
        <x:v>Estimator, Units, Storage, Export</x:v>
      </x:c>
      <x:c r="H12" s="17" t="str">
        <x:v>Ads + Pro</x:v>
      </x:c>
      <x:c r="I12" s="17" t="str">
        <x:v>Small</x:v>
      </x:c>
      <x:c r="J12" s="17" t="str">
        <x:v>New candidate</x:v>
      </x:c>
      <x:c r="K12" s="17" t="str">
        <x:v>Unreviewed</x:v>
      </x:c>
      <x:c r="L12" s="17"/>
      <x:c r="M12" s="17"/>
      <x:c r="N12" s="17"/>
      <x:c r="O12" s="17"/>
      <x:c r="P12" s="17"/>
      <x:c r="Q12" s="17" t="str">
        <x:f>IF(COUNT(L12:P12)&lt;5,"",ROUND((L12*25+M12*20+N12*20+O12*20+P12*15)/5,1))</x:f>
      </x:c>
      <x:c r="R12" s="18" t="str"/>
      <x:c r="S12" s="18" t="str"/>
      <x:c r="T12" s="17" t="str"/>
      <x:c r="U12" s="19"/>
    </x:row>
    <x:row r="13">
      <x:c r="A13" s="17" t="str">
        <x:v>MTS-0012</x:v>
      </x:c>
      <x:c r="B13" s="17" t="str">
        <x:v>Deck Material Planner</x:v>
      </x:c>
      <x:c r="C13" s="17" t="str">
        <x:v>Construction Estimators</x:v>
      </x:c>
      <x:c r="D13" s="17" t="str">
        <x:v>Mobile App</x:v>
      </x:c>
      <x:c r="E13" s="17" t="str">
        <x:v>Contractors and DIY</x:v>
      </x:c>
      <x:c r="F13" s="18" t="str">
        <x:v>Deck Material Planner provides a focused construction estimators workflow for contractors and diy.</x:v>
      </x:c>
      <x:c r="G13" s="18" t="str">
        <x:v>Estimator, Units, Storage, Export</x:v>
      </x:c>
      <x:c r="H13" s="17" t="str">
        <x:v>Ads + Pro</x:v>
      </x:c>
      <x:c r="I13" s="17" t="str">
        <x:v>Small</x:v>
      </x:c>
      <x:c r="J13" s="17" t="str">
        <x:v>New candidate</x:v>
      </x:c>
      <x:c r="K13" s="17" t="str">
        <x:v>Unreviewed</x:v>
      </x:c>
      <x:c r="L13" s="17"/>
      <x:c r="M13" s="17"/>
      <x:c r="N13" s="17"/>
      <x:c r="O13" s="17"/>
      <x:c r="P13" s="17"/>
      <x:c r="Q13" s="17" t="str">
        <x:f>IF(COUNT(L13:P13)&lt;5,"",ROUND((L13*25+M13*20+N13*20+O13*20+P13*15)/5,1))</x:f>
      </x:c>
      <x:c r="R13" s="18" t="str"/>
      <x:c r="S13" s="18" t="str"/>
      <x:c r="T13" s="17" t="str"/>
      <x:c r="U13" s="19"/>
    </x:row>
    <x:row r="14">
      <x:c r="A14" s="17" t="str">
        <x:v>MTS-0013</x:v>
      </x:c>
      <x:c r="B14" s="17" t="str">
        <x:v>Measurement Maxxed</x:v>
      </x:c>
      <x:c r="C14" s="17" t="str">
        <x:v>Visual Measurement</x:v>
      </x:c>
      <x:c r="D14" s="17" t="str">
        <x:v>Mobile App</x:v>
      </x:c>
      <x:c r="E14" s="17" t="str">
        <x:v>Trades and homeowners</x:v>
      </x:c>
      <x:c r="F14" s="18" t="str">
        <x:v>Measurement Maxxed provides a focused visual measurement workflow for trades and homeowners.</x:v>
      </x:c>
      <x:c r="G14" s="18" t="str">
        <x:v>Camera, Measurement, Storage, Export</x:v>
      </x:c>
      <x:c r="H14" s="17" t="str">
        <x:v>Paid + Pro</x:v>
      </x:c>
      <x:c r="I14" s="17" t="str">
        <x:v>Large</x:v>
      </x:c>
      <x:c r="J14" s="17" t="str">
        <x:v>Existing discussion/project</x:v>
      </x:c>
      <x:c r="K14" s="17" t="str">
        <x:v>Unreviewed</x:v>
      </x:c>
      <x:c r="L14" s="17"/>
      <x:c r="M14" s="17"/>
      <x:c r="N14" s="17"/>
      <x:c r="O14" s="17"/>
      <x:c r="P14" s="17"/>
      <x:c r="Q14" s="17" t="str">
        <x:f>IF(COUNT(L14:P14)&lt;5,"",ROUND((L14*25+M14*20+N14*20+O14*20+P14*15)/5,1))</x:f>
      </x:c>
      <x:c r="R14" s="18" t="str"/>
      <x:c r="S14" s="18" t="str"/>
      <x:c r="T14" s="17" t="str"/>
      <x:c r="U14" s="19"/>
    </x:row>
    <x:row r="15">
      <x:c r="A15" s="17" t="str">
        <x:v>MTS-0014</x:v>
      </x:c>
      <x:c r="B15" s="17" t="str">
        <x:v>Gold Estimator Maxxed</x:v>
      </x:c>
      <x:c r="C15" s="17" t="str">
        <x:v>Visual Measurement</x:v>
      </x:c>
      <x:c r="D15" s="17" t="str">
        <x:v>Mobile App</x:v>
      </x:c>
      <x:c r="E15" s="17" t="str">
        <x:v>Trades and homeowners</x:v>
      </x:c>
      <x:c r="F15" s="18" t="str">
        <x:v>Gold Estimator Maxxed provides a focused visual measurement workflow for trades and homeowners.</x:v>
      </x:c>
      <x:c r="G15" s="18" t="str">
        <x:v>Camera, Measurement, Storage, Export</x:v>
      </x:c>
      <x:c r="H15" s="17" t="str">
        <x:v>Paid + Pro</x:v>
      </x:c>
      <x:c r="I15" s="17" t="str">
        <x:v>Large</x:v>
      </x:c>
      <x:c r="J15" s="17" t="str">
        <x:v>Existing discussion/project</x:v>
      </x:c>
      <x:c r="K15" s="17" t="str">
        <x:v>Unreviewed</x:v>
      </x:c>
      <x:c r="L15" s="17"/>
      <x:c r="M15" s="17"/>
      <x:c r="N15" s="17"/>
      <x:c r="O15" s="17"/>
      <x:c r="P15" s="17"/>
      <x:c r="Q15" s="17" t="str">
        <x:f>IF(COUNT(L15:P15)&lt;5,"",ROUND((L15*25+M15*20+N15*20+O15*20+P15*15)/5,1))</x:f>
      </x:c>
      <x:c r="R15" s="18" t="str"/>
      <x:c r="S15" s="18" t="str"/>
      <x:c r="T15" s="17" t="str"/>
      <x:c r="U15" s="19"/>
    </x:row>
    <x:row r="16">
      <x:c r="A16" s="17" t="str">
        <x:v>MTS-0015</x:v>
      </x:c>
      <x:c r="B16" s="17" t="str">
        <x:v>Photo Room Mapper</x:v>
      </x:c>
      <x:c r="C16" s="17" t="str">
        <x:v>Visual Measurement</x:v>
      </x:c>
      <x:c r="D16" s="17" t="str">
        <x:v>Mobile App</x:v>
      </x:c>
      <x:c r="E16" s="17" t="str">
        <x:v>Trades and homeowners</x:v>
      </x:c>
      <x:c r="F16" s="18" t="str">
        <x:v>Photo Room Mapper provides a focused visual measurement workflow for trades and homeowners.</x:v>
      </x:c>
      <x:c r="G16" s="18" t="str">
        <x:v>Camera, Measurement, Storage, Export</x:v>
      </x:c>
      <x:c r="H16" s="17" t="str">
        <x:v>Paid + Pro</x:v>
      </x:c>
      <x:c r="I16" s="17" t="str">
        <x:v>Large</x:v>
      </x:c>
      <x:c r="J16" s="17" t="str">
        <x:v>New candidate</x:v>
      </x:c>
      <x:c r="K16" s="17" t="str">
        <x:v>Unreviewed</x:v>
      </x:c>
      <x:c r="L16" s="17"/>
      <x:c r="M16" s="17"/>
      <x:c r="N16" s="17"/>
      <x:c r="O16" s="17"/>
      <x:c r="P16" s="17"/>
      <x:c r="Q16" s="17" t="str">
        <x:f>IF(COUNT(L16:P16)&lt;5,"",ROUND((L16*25+M16*20+N16*20+O16*20+P16*15)/5,1))</x:f>
      </x:c>
      <x:c r="R16" s="18" t="str"/>
      <x:c r="S16" s="18" t="str"/>
      <x:c r="T16" s="17" t="str"/>
      <x:c r="U16" s="19"/>
    </x:row>
    <x:row r="17">
      <x:c r="A17" s="17" t="str">
        <x:v>MTS-0016</x:v>
      </x:c>
      <x:c r="B17" s="17" t="str">
        <x:v>Object Dimension Camera</x:v>
      </x:c>
      <x:c r="C17" s="17" t="str">
        <x:v>Visual Measurement</x:v>
      </x:c>
      <x:c r="D17" s="17" t="str">
        <x:v>Mobile App</x:v>
      </x:c>
      <x:c r="E17" s="17" t="str">
        <x:v>Trades and homeowners</x:v>
      </x:c>
      <x:c r="F17" s="18" t="str">
        <x:v>Object Dimension Camera provides a focused visual measurement workflow for trades and homeowners.</x:v>
      </x:c>
      <x:c r="G17" s="18" t="str">
        <x:v>Camera, Measurement, Storage, Export</x:v>
      </x:c>
      <x:c r="H17" s="17" t="str">
        <x:v>Paid + Pro</x:v>
      </x:c>
      <x:c r="I17" s="17" t="str">
        <x:v>Large</x:v>
      </x:c>
      <x:c r="J17" s="17" t="str">
        <x:v>New candidate</x:v>
      </x:c>
      <x:c r="K17" s="17" t="str">
        <x:v>Unreviewed</x:v>
      </x:c>
      <x:c r="L17" s="17"/>
      <x:c r="M17" s="17"/>
      <x:c r="N17" s="17"/>
      <x:c r="O17" s="17"/>
      <x:c r="P17" s="17"/>
      <x:c r="Q17" s="17" t="str">
        <x:f>IF(COUNT(L17:P17)&lt;5,"",ROUND((L17*25+M17*20+N17*20+O17*20+P17*15)/5,1))</x:f>
      </x:c>
      <x:c r="R17" s="18" t="str"/>
      <x:c r="S17" s="18" t="str"/>
      <x:c r="T17" s="17" t="str"/>
      <x:c r="U17" s="19"/>
    </x:row>
    <x:row r="18">
      <x:c r="A18" s="17" t="str">
        <x:v>MTS-0017</x:v>
      </x:c>
      <x:c r="B18" s="17" t="str">
        <x:v>Board Foot Scanner</x:v>
      </x:c>
      <x:c r="C18" s="17" t="str">
        <x:v>Visual Measurement</x:v>
      </x:c>
      <x:c r="D18" s="17" t="str">
        <x:v>Mobile App</x:v>
      </x:c>
      <x:c r="E18" s="17" t="str">
        <x:v>Trades and homeowners</x:v>
      </x:c>
      <x:c r="F18" s="18" t="str">
        <x:v>Board Foot Scanner provides a focused visual measurement workflow for trades and homeowners.</x:v>
      </x:c>
      <x:c r="G18" s="18" t="str">
        <x:v>Camera, Measurement, Storage, Export</x:v>
      </x:c>
      <x:c r="H18" s="17" t="str">
        <x:v>Paid + Pro</x:v>
      </x:c>
      <x:c r="I18" s="17" t="str">
        <x:v>Large</x:v>
      </x:c>
      <x:c r="J18" s="17" t="str">
        <x:v>New candidate</x:v>
      </x:c>
      <x:c r="K18" s="17" t="str">
        <x:v>Unreviewed</x:v>
      </x:c>
      <x:c r="L18" s="17"/>
      <x:c r="M18" s="17"/>
      <x:c r="N18" s="17"/>
      <x:c r="O18" s="17"/>
      <x:c r="P18" s="17"/>
      <x:c r="Q18" s="17" t="str">
        <x:f>IF(COUNT(L18:P18)&lt;5,"",ROUND((L18*25+M18*20+N18*20+O18*20+P18*15)/5,1))</x:f>
      </x:c>
      <x:c r="R18" s="18" t="str"/>
      <x:c r="S18" s="18" t="str"/>
      <x:c r="T18" s="17" t="str"/>
      <x:c r="U18" s="19"/>
    </x:row>
    <x:row r="19">
      <x:c r="A19" s="17" t="str">
        <x:v>MTS-0018</x:v>
      </x:c>
      <x:c r="B19" s="17" t="str">
        <x:v>Pipe Diameter Camera</x:v>
      </x:c>
      <x:c r="C19" s="17" t="str">
        <x:v>Visual Measurement</x:v>
      </x:c>
      <x:c r="D19" s="17" t="str">
        <x:v>Mobile App</x:v>
      </x:c>
      <x:c r="E19" s="17" t="str">
        <x:v>Trades and homeowners</x:v>
      </x:c>
      <x:c r="F19" s="18" t="str">
        <x:v>Pipe Diameter Camera provides a focused visual measurement workflow for trades and homeowners.</x:v>
      </x:c>
      <x:c r="G19" s="18" t="str">
        <x:v>Camera, Measurement, Storage, Export</x:v>
      </x:c>
      <x:c r="H19" s="17" t="str">
        <x:v>Paid + Pro</x:v>
      </x:c>
      <x:c r="I19" s="17" t="str">
        <x:v>Large</x:v>
      </x:c>
      <x:c r="J19" s="17" t="str">
        <x:v>New candidate</x:v>
      </x:c>
      <x:c r="K19" s="17" t="str">
        <x:v>Unreviewed</x:v>
      </x:c>
      <x:c r="L19" s="17"/>
      <x:c r="M19" s="17"/>
      <x:c r="N19" s="17"/>
      <x:c r="O19" s="17"/>
      <x:c r="P19" s="17"/>
      <x:c r="Q19" s="17" t="str">
        <x:f>IF(COUNT(L19:P19)&lt;5,"",ROUND((L19*25+M19*20+N19*20+O19*20+P19*15)/5,1))</x:f>
      </x:c>
      <x:c r="R19" s="18" t="str"/>
      <x:c r="S19" s="18" t="str"/>
      <x:c r="T19" s="17" t="str"/>
      <x:c r="U19" s="19"/>
    </x:row>
    <x:row r="20">
      <x:c r="A20" s="17" t="str">
        <x:v>MTS-0019</x:v>
      </x:c>
      <x:c r="B20" s="17" t="str">
        <x:v>Tree Height Camera</x:v>
      </x:c>
      <x:c r="C20" s="17" t="str">
        <x:v>Visual Measurement</x:v>
      </x:c>
      <x:c r="D20" s="17" t="str">
        <x:v>Mobile App</x:v>
      </x:c>
      <x:c r="E20" s="17" t="str">
        <x:v>Trades and homeowners</x:v>
      </x:c>
      <x:c r="F20" s="18" t="str">
        <x:v>Tree Height Camera provides a focused visual measurement workflow for trades and homeowners.</x:v>
      </x:c>
      <x:c r="G20" s="18" t="str">
        <x:v>Camera, Measurement, Storage, Export</x:v>
      </x:c>
      <x:c r="H20" s="17" t="str">
        <x:v>Paid + Pro</x:v>
      </x:c>
      <x:c r="I20" s="17" t="str">
        <x:v>Large</x:v>
      </x:c>
      <x:c r="J20" s="17" t="str">
        <x:v>New candidate</x:v>
      </x:c>
      <x:c r="K20" s="17" t="str">
        <x:v>Unreviewed</x:v>
      </x:c>
      <x:c r="L20" s="17"/>
      <x:c r="M20" s="17"/>
      <x:c r="N20" s="17"/>
      <x:c r="O20" s="17"/>
      <x:c r="P20" s="17"/>
      <x:c r="Q20" s="17" t="str">
        <x:f>IF(COUNT(L20:P20)&lt;5,"",ROUND((L20*25+M20*20+N20*20+O20*20+P20*15)/5,1))</x:f>
      </x:c>
      <x:c r="R20" s="18" t="str"/>
      <x:c r="S20" s="18" t="str"/>
      <x:c r="T20" s="17" t="str"/>
      <x:c r="U20" s="19"/>
    </x:row>
    <x:row r="21">
      <x:c r="A21" s="17" t="str">
        <x:v>MTS-0020</x:v>
      </x:c>
      <x:c r="B21" s="17" t="str">
        <x:v>Roof Pitch Camera</x:v>
      </x:c>
      <x:c r="C21" s="17" t="str">
        <x:v>Visual Measurement</x:v>
      </x:c>
      <x:c r="D21" s="17" t="str">
        <x:v>Mobile App</x:v>
      </x:c>
      <x:c r="E21" s="17" t="str">
        <x:v>Trades and homeowners</x:v>
      </x:c>
      <x:c r="F21" s="18" t="str">
        <x:v>Roof Pitch Camera provides a focused visual measurement workflow for trades and homeowners.</x:v>
      </x:c>
      <x:c r="G21" s="18" t="str">
        <x:v>Camera, Measurement, Storage, Export</x:v>
      </x:c>
      <x:c r="H21" s="17" t="str">
        <x:v>Paid + Pro</x:v>
      </x:c>
      <x:c r="I21" s="17" t="str">
        <x:v>Large</x:v>
      </x:c>
      <x:c r="J21" s="17" t="str">
        <x:v>New candidate</x:v>
      </x:c>
      <x:c r="K21" s="17" t="str">
        <x:v>Unreviewed</x:v>
      </x:c>
      <x:c r="L21" s="17"/>
      <x:c r="M21" s="17"/>
      <x:c r="N21" s="17"/>
      <x:c r="O21" s="17"/>
      <x:c r="P21" s="17"/>
      <x:c r="Q21" s="17" t="str">
        <x:f>IF(COUNT(L21:P21)&lt;5,"",ROUND((L21*25+M21*20+N21*20+O21*20+P21*15)/5,1))</x:f>
      </x:c>
      <x:c r="R21" s="18" t="str"/>
      <x:c r="S21" s="18" t="str"/>
      <x:c r="T21" s="17" t="str"/>
      <x:c r="U21" s="19"/>
    </x:row>
    <x:row r="22">
      <x:c r="A22" s="17" t="str">
        <x:v>MTS-0021</x:v>
      </x:c>
      <x:c r="B22" s="17" t="str">
        <x:v>Walked Area Mapper</x:v>
      </x:c>
      <x:c r="C22" s="17" t="str">
        <x:v>Visual Measurement</x:v>
      </x:c>
      <x:c r="D22" s="17" t="str">
        <x:v>Mobile App</x:v>
      </x:c>
      <x:c r="E22" s="17" t="str">
        <x:v>Trades and homeowners</x:v>
      </x:c>
      <x:c r="F22" s="18" t="str">
        <x:v>Walked Area Mapper provides a focused visual measurement workflow for trades and homeowners.</x:v>
      </x:c>
      <x:c r="G22" s="18" t="str">
        <x:v>Camera, Measurement, Storage, Export</x:v>
      </x:c>
      <x:c r="H22" s="17" t="str">
        <x:v>Paid + Pro</x:v>
      </x:c>
      <x:c r="I22" s="17" t="str">
        <x:v>Large</x:v>
      </x:c>
      <x:c r="J22" s="17" t="str">
        <x:v>New candidate</x:v>
      </x:c>
      <x:c r="K22" s="17" t="str">
        <x:v>Unreviewed</x:v>
      </x:c>
      <x:c r="L22" s="17"/>
      <x:c r="M22" s="17"/>
      <x:c r="N22" s="17"/>
      <x:c r="O22" s="17"/>
      <x:c r="P22" s="17"/>
      <x:c r="Q22" s="17" t="str">
        <x:f>IF(COUNT(L22:P22)&lt;5,"",ROUND((L22*25+M22*20+N22*20+O22*20+P22*15)/5,1))</x:f>
      </x:c>
      <x:c r="R22" s="18" t="str"/>
      <x:c r="S22" s="18" t="str"/>
      <x:c r="T22" s="17" t="str"/>
      <x:c r="U22" s="19"/>
    </x:row>
    <x:row r="23">
      <x:c r="A23" s="17" t="str">
        <x:v>MTS-0022</x:v>
      </x:c>
      <x:c r="B23" s="17" t="str">
        <x:v>Stack Volume Camera</x:v>
      </x:c>
      <x:c r="C23" s="17" t="str">
        <x:v>Visual Measurement</x:v>
      </x:c>
      <x:c r="D23" s="17" t="str">
        <x:v>Mobile App</x:v>
      </x:c>
      <x:c r="E23" s="17" t="str">
        <x:v>Trades and homeowners</x:v>
      </x:c>
      <x:c r="F23" s="18" t="str">
        <x:v>Stack Volume Camera provides a focused visual measurement workflow for trades and homeowners.</x:v>
      </x:c>
      <x:c r="G23" s="18" t="str">
        <x:v>Camera, Measurement, Storage, Export</x:v>
      </x:c>
      <x:c r="H23" s="17" t="str">
        <x:v>Paid + Pro</x:v>
      </x:c>
      <x:c r="I23" s="17" t="str">
        <x:v>Large</x:v>
      </x:c>
      <x:c r="J23" s="17" t="str">
        <x:v>New candidate</x:v>
      </x:c>
      <x:c r="K23" s="17" t="str">
        <x:v>Unreviewed</x:v>
      </x:c>
      <x:c r="L23" s="17"/>
      <x:c r="M23" s="17"/>
      <x:c r="N23" s="17"/>
      <x:c r="O23" s="17"/>
      <x:c r="P23" s="17"/>
      <x:c r="Q23" s="17" t="str">
        <x:f>IF(COUNT(L23:P23)&lt;5,"",ROUND((L23*25+M23*20+N23*20+O23*20+P23*15)/5,1))</x:f>
      </x:c>
      <x:c r="R23" s="18" t="str"/>
      <x:c r="S23" s="18" t="str"/>
      <x:c r="T23" s="17" t="str"/>
      <x:c r="U23" s="19"/>
    </x:row>
    <x:row r="24">
      <x:c r="A24" s="17" t="str">
        <x:v>MTS-0023</x:v>
      </x:c>
      <x:c r="B24" s="17" t="str">
        <x:v>Shadow Height Calculator</x:v>
      </x:c>
      <x:c r="C24" s="17" t="str">
        <x:v>Visual Measurement</x:v>
      </x:c>
      <x:c r="D24" s="17" t="str">
        <x:v>Mobile App</x:v>
      </x:c>
      <x:c r="E24" s="17" t="str">
        <x:v>Trades and homeowners</x:v>
      </x:c>
      <x:c r="F24" s="18" t="str">
        <x:v>Shadow Height Calculator provides a focused visual measurement workflow for trades and homeowners.</x:v>
      </x:c>
      <x:c r="G24" s="18" t="str">
        <x:v>Camera, Measurement, Storage, Export</x:v>
      </x:c>
      <x:c r="H24" s="17" t="str">
        <x:v>Paid + Pro</x:v>
      </x:c>
      <x:c r="I24" s="17" t="str">
        <x:v>Large</x:v>
      </x:c>
      <x:c r="J24" s="17" t="str">
        <x:v>New candidate</x:v>
      </x:c>
      <x:c r="K24" s="17" t="str">
        <x:v>Unreviewed</x:v>
      </x:c>
      <x:c r="L24" s="17"/>
      <x:c r="M24" s="17"/>
      <x:c r="N24" s="17"/>
      <x:c r="O24" s="17"/>
      <x:c r="P24" s="17"/>
      <x:c r="Q24" s="17" t="str">
        <x:f>IF(COUNT(L24:P24)&lt;5,"",ROUND((L24*25+M24*20+N24*20+O24*20+P24*15)/5,1))</x:f>
      </x:c>
      <x:c r="R24" s="18" t="str"/>
      <x:c r="S24" s="18" t="str"/>
      <x:c r="T24" s="17" t="str"/>
      <x:c r="U24" s="19"/>
    </x:row>
    <x:row r="25">
      <x:c r="A25" s="17" t="str">
        <x:v>MTS-0024</x:v>
      </x:c>
      <x:c r="B25" s="17" t="str">
        <x:v>Material Coverage Camera</x:v>
      </x:c>
      <x:c r="C25" s="17" t="str">
        <x:v>Visual Measurement</x:v>
      </x:c>
      <x:c r="D25" s="17" t="str">
        <x:v>Mobile App</x:v>
      </x:c>
      <x:c r="E25" s="17" t="str">
        <x:v>Trades and homeowners</x:v>
      </x:c>
      <x:c r="F25" s="18" t="str">
        <x:v>Material Coverage Camera provides a focused visual measurement workflow for trades and homeowners.</x:v>
      </x:c>
      <x:c r="G25" s="18" t="str">
        <x:v>Camera, Measurement, Storage, Export</x:v>
      </x:c>
      <x:c r="H25" s="17" t="str">
        <x:v>Paid + Pro</x:v>
      </x:c>
      <x:c r="I25" s="17" t="str">
        <x:v>Large</x:v>
      </x:c>
      <x:c r="J25" s="17" t="str">
        <x:v>New candidate</x:v>
      </x:c>
      <x:c r="K25" s="17" t="str">
        <x:v>Unreviewed</x:v>
      </x:c>
      <x:c r="L25" s="17"/>
      <x:c r="M25" s="17"/>
      <x:c r="N25" s="17"/>
      <x:c r="O25" s="17"/>
      <x:c r="P25" s="17"/>
      <x:c r="Q25" s="17" t="str">
        <x:f>IF(COUNT(L25:P25)&lt;5,"",ROUND((L25*25+M25*20+N25*20+O25*20+P25*15)/5,1))</x:f>
      </x:c>
      <x:c r="R25" s="18" t="str"/>
      <x:c r="S25" s="18" t="str"/>
      <x:c r="T25" s="17" t="str"/>
      <x:c r="U25" s="19"/>
    </x:row>
    <x:row r="26">
      <x:c r="A26" s="17" t="str">
        <x:v>MTS-0025</x:v>
      </x:c>
      <x:c r="B26" s="17" t="str">
        <x:v>Security Inspection Reporter</x:v>
      </x:c>
      <x:c r="C26" s="17" t="str">
        <x:v>Inspection Systems</x:v>
      </x:c>
      <x:c r="D26" s="17" t="str">
        <x:v>Mobile + SaaS</x:v>
      </x:c>
      <x:c r="E26" s="17" t="str">
        <x:v>Inspectors and operators</x:v>
      </x:c>
      <x:c r="F26" s="18" t="str">
        <x:v>Security Inspection Reporter provides a focused inspection systems workflow for inspectors and operators.</x:v>
      </x:c>
      <x:c r="G26" s="18" t="str">
        <x:v>Inspection, Camera, Reports, Signature</x:v>
      </x:c>
      <x:c r="H26" s="17" t="str">
        <x:v>Subscription</x:v>
      </x:c>
      <x:c r="I26" s="17" t="str">
        <x:v>Medium</x:v>
      </x:c>
      <x:c r="J26" s="17" t="str">
        <x:v>Existing discussion/project</x:v>
      </x:c>
      <x:c r="K26" s="17" t="str">
        <x:v>Unreviewed</x:v>
      </x:c>
      <x:c r="L26" s="17"/>
      <x:c r="M26" s="17"/>
      <x:c r="N26" s="17"/>
      <x:c r="O26" s="17"/>
      <x:c r="P26" s="17"/>
      <x:c r="Q26" s="17" t="str">
        <x:f>IF(COUNT(L26:P26)&lt;5,"",ROUND((L26*25+M26*20+N26*20+O26*20+P26*15)/5,1))</x:f>
      </x:c>
      <x:c r="R26" s="18" t="str"/>
      <x:c r="S26" s="18" t="str"/>
      <x:c r="T26" s="17" t="str"/>
      <x:c r="U26" s="19"/>
    </x:row>
    <x:row r="27">
      <x:c r="A27" s="17" t="str">
        <x:v>MTS-0026</x:v>
      </x:c>
      <x:c r="B27" s="17" t="str">
        <x:v>Jobsite Inspection Reporter</x:v>
      </x:c>
      <x:c r="C27" s="17" t="str">
        <x:v>Inspection Systems</x:v>
      </x:c>
      <x:c r="D27" s="17" t="str">
        <x:v>Mobile + SaaS</x:v>
      </x:c>
      <x:c r="E27" s="17" t="str">
        <x:v>Inspectors and operators</x:v>
      </x:c>
      <x:c r="F27" s="18" t="str">
        <x:v>Jobsite Inspection Reporter provides a focused inspection systems workflow for inspectors and operators.</x:v>
      </x:c>
      <x:c r="G27" s="18" t="str">
        <x:v>Inspection, Camera, Reports, Signature</x:v>
      </x:c>
      <x:c r="H27" s="17" t="str">
        <x:v>Subscription</x:v>
      </x:c>
      <x:c r="I27" s="17" t="str">
        <x:v>Medium</x:v>
      </x:c>
      <x:c r="J27" s="17" t="str">
        <x:v>New candidate</x:v>
      </x:c>
      <x:c r="K27" s="17" t="str">
        <x:v>Unreviewed</x:v>
      </x:c>
      <x:c r="L27" s="17"/>
      <x:c r="M27" s="17"/>
      <x:c r="N27" s="17"/>
      <x:c r="O27" s="17"/>
      <x:c r="P27" s="17"/>
      <x:c r="Q27" s="17" t="str">
        <x:f>IF(COUNT(L27:P27)&lt;5,"",ROUND((L27*25+M27*20+N27*20+O27*20+P27*15)/5,1))</x:f>
      </x:c>
      <x:c r="R27" s="18" t="str"/>
      <x:c r="S27" s="18" t="str"/>
      <x:c r="T27" s="17" t="str"/>
      <x:c r="U27" s="19"/>
    </x:row>
    <x:row r="28">
      <x:c r="A28" s="17" t="str">
        <x:v>MTS-0027</x:v>
      </x:c>
      <x:c r="B28" s="17" t="str">
        <x:v>Equipment Inspection Log</x:v>
      </x:c>
      <x:c r="C28" s="17" t="str">
        <x:v>Inspection Systems</x:v>
      </x:c>
      <x:c r="D28" s="17" t="str">
        <x:v>Mobile + SaaS</x:v>
      </x:c>
      <x:c r="E28" s="17" t="str">
        <x:v>Inspectors and operators</x:v>
      </x:c>
      <x:c r="F28" s="18" t="str">
        <x:v>Equipment Inspection Log provides a focused inspection systems workflow for inspectors and operators.</x:v>
      </x:c>
      <x:c r="G28" s="18" t="str">
        <x:v>Inspection, Camera, Reports, Signature</x:v>
      </x:c>
      <x:c r="H28" s="17" t="str">
        <x:v>Subscription</x:v>
      </x:c>
      <x:c r="I28" s="17" t="str">
        <x:v>Medium</x:v>
      </x:c>
      <x:c r="J28" s="17" t="str">
        <x:v>New candidate</x:v>
      </x:c>
      <x:c r="K28" s="17" t="str">
        <x:v>Unreviewed</x:v>
      </x:c>
      <x:c r="L28" s="17"/>
      <x:c r="M28" s="17"/>
      <x:c r="N28" s="17"/>
      <x:c r="O28" s="17"/>
      <x:c r="P28" s="17"/>
      <x:c r="Q28" s="17" t="str">
        <x:f>IF(COUNT(L28:P28)&lt;5,"",ROUND((L28*25+M28*20+N28*20+O28*20+P28*15)/5,1))</x:f>
      </x:c>
      <x:c r="R28" s="18" t="str"/>
      <x:c r="S28" s="18" t="str"/>
      <x:c r="T28" s="17" t="str"/>
      <x:c r="U28" s="19"/>
    </x:row>
    <x:row r="29">
      <x:c r="A29" s="17" t="str">
        <x:v>MTS-0028</x:v>
      </x:c>
      <x:c r="B29" s="17" t="str">
        <x:v>Property Turnover Inspection</x:v>
      </x:c>
      <x:c r="C29" s="17" t="str">
        <x:v>Inspection Systems</x:v>
      </x:c>
      <x:c r="D29" s="17" t="str">
        <x:v>Mobile + SaaS</x:v>
      </x:c>
      <x:c r="E29" s="17" t="str">
        <x:v>Inspectors and operators</x:v>
      </x:c>
      <x:c r="F29" s="18" t="str">
        <x:v>Property Turnover Inspection provides a focused inspection systems workflow for inspectors and operators.</x:v>
      </x:c>
      <x:c r="G29" s="18" t="str">
        <x:v>Inspection, Camera, Reports, Signature</x:v>
      </x:c>
      <x:c r="H29" s="17" t="str">
        <x:v>Subscription</x:v>
      </x:c>
      <x:c r="I29" s="17" t="str">
        <x:v>Medium</x:v>
      </x:c>
      <x:c r="J29" s="17" t="str">
        <x:v>New candidate</x:v>
      </x:c>
      <x:c r="K29" s="17" t="str">
        <x:v>Unreviewed</x:v>
      </x:c>
      <x:c r="L29" s="17"/>
      <x:c r="M29" s="17"/>
      <x:c r="N29" s="17"/>
      <x:c r="O29" s="17"/>
      <x:c r="P29" s="17"/>
      <x:c r="Q29" s="17" t="str">
        <x:f>IF(COUNT(L29:P29)&lt;5,"",ROUND((L29*25+M29*20+N29*20+O29*20+P29*15)/5,1))</x:f>
      </x:c>
      <x:c r="R29" s="18" t="str"/>
      <x:c r="S29" s="18" t="str"/>
      <x:c r="T29" s="17" t="str"/>
      <x:c r="U29" s="19"/>
    </x:row>
    <x:row r="30">
      <x:c r="A30" s="17" t="str">
        <x:v>MTS-0029</x:v>
      </x:c>
      <x:c r="B30" s="17" t="str">
        <x:v>Parking Lot Inspection</x:v>
      </x:c>
      <x:c r="C30" s="17" t="str">
        <x:v>Inspection Systems</x:v>
      </x:c>
      <x:c r="D30" s="17" t="str">
        <x:v>Mobile + SaaS</x:v>
      </x:c>
      <x:c r="E30" s="17" t="str">
        <x:v>Inspectors and operators</x:v>
      </x:c>
      <x:c r="F30" s="18" t="str">
        <x:v>Parking Lot Inspection provides a focused inspection systems workflow for inspectors and operators.</x:v>
      </x:c>
      <x:c r="G30" s="18" t="str">
        <x:v>Inspection, Camera, Reports, Signature</x:v>
      </x:c>
      <x:c r="H30" s="17" t="str">
        <x:v>Subscription</x:v>
      </x:c>
      <x:c r="I30" s="17" t="str">
        <x:v>Medium</x:v>
      </x:c>
      <x:c r="J30" s="17" t="str">
        <x:v>New candidate</x:v>
      </x:c>
      <x:c r="K30" s="17" t="str">
        <x:v>Unreviewed</x:v>
      </x:c>
      <x:c r="L30" s="17"/>
      <x:c r="M30" s="17"/>
      <x:c r="N30" s="17"/>
      <x:c r="O30" s="17"/>
      <x:c r="P30" s="17"/>
      <x:c r="Q30" s="17" t="str">
        <x:f>IF(COUNT(L30:P30)&lt;5,"",ROUND((L30*25+M30*20+N30*20+O30*20+P30*15)/5,1))</x:f>
      </x:c>
      <x:c r="R30" s="18" t="str"/>
      <x:c r="S30" s="18" t="str"/>
      <x:c r="T30" s="17" t="str"/>
      <x:c r="U30" s="19"/>
    </x:row>
    <x:row r="31">
      <x:c r="A31" s="17" t="str">
        <x:v>MTS-0030</x:v>
      </x:c>
      <x:c r="B31" s="17" t="str">
        <x:v>Horse Facility Inspection</x:v>
      </x:c>
      <x:c r="C31" s="17" t="str">
        <x:v>Inspection Systems</x:v>
      </x:c>
      <x:c r="D31" s="17" t="str">
        <x:v>Mobile + SaaS</x:v>
      </x:c>
      <x:c r="E31" s="17" t="str">
        <x:v>Inspectors and operators</x:v>
      </x:c>
      <x:c r="F31" s="18" t="str">
        <x:v>Horse Facility Inspection provides a focused inspection systems workflow for inspectors and operators.</x:v>
      </x:c>
      <x:c r="G31" s="18" t="str">
        <x:v>Inspection, Camera, Reports, Signature</x:v>
      </x:c>
      <x:c r="H31" s="17" t="str">
        <x:v>Subscription</x:v>
      </x:c>
      <x:c r="I31" s="17" t="str">
        <x:v>Medium</x:v>
      </x:c>
      <x:c r="J31" s="17" t="str">
        <x:v>New candidate</x:v>
      </x:c>
      <x:c r="K31" s="17" t="str">
        <x:v>Unreviewed</x:v>
      </x:c>
      <x:c r="L31" s="17"/>
      <x:c r="M31" s="17"/>
      <x:c r="N31" s="17"/>
      <x:c r="O31" s="17"/>
      <x:c r="P31" s="17"/>
      <x:c r="Q31" s="17" t="str">
        <x:f>IF(COUNT(L31:P31)&lt;5,"",ROUND((L31*25+M31*20+N31*20+O31*20+P31*15)/5,1))</x:f>
      </x:c>
      <x:c r="R31" s="18" t="str"/>
      <x:c r="S31" s="18" t="str"/>
      <x:c r="T31" s="17" t="str"/>
      <x:c r="U31" s="19"/>
    </x:row>
    <x:row r="32">
      <x:c r="A32" s="17" t="str">
        <x:v>MTS-0031</x:v>
      </x:c>
      <x:c r="B32" s="17" t="str">
        <x:v>Rental Condition Inspection</x:v>
      </x:c>
      <x:c r="C32" s="17" t="str">
        <x:v>Inspection Systems</x:v>
      </x:c>
      <x:c r="D32" s="17" t="str">
        <x:v>Mobile + SaaS</x:v>
      </x:c>
      <x:c r="E32" s="17" t="str">
        <x:v>Inspectors and operators</x:v>
      </x:c>
      <x:c r="F32" s="18" t="str">
        <x:v>Rental Condition Inspection provides a focused inspection systems workflow for inspectors and operators.</x:v>
      </x:c>
      <x:c r="G32" s="18" t="str">
        <x:v>Inspection, Camera, Reports, Signature</x:v>
      </x:c>
      <x:c r="H32" s="17" t="str">
        <x:v>Subscription</x:v>
      </x:c>
      <x:c r="I32" s="17" t="str">
        <x:v>Medium</x:v>
      </x:c>
      <x:c r="J32" s="17" t="str">
        <x:v>New candidate</x:v>
      </x:c>
      <x:c r="K32" s="17" t="str">
        <x:v>Unreviewed</x:v>
      </x:c>
      <x:c r="L32" s="17"/>
      <x:c r="M32" s="17"/>
      <x:c r="N32" s="17"/>
      <x:c r="O32" s="17"/>
      <x:c r="P32" s="17"/>
      <x:c r="Q32" s="17" t="str">
        <x:f>IF(COUNT(L32:P32)&lt;5,"",ROUND((L32*25+M32*20+N32*20+O32*20+P32*15)/5,1))</x:f>
      </x:c>
      <x:c r="R32" s="18" t="str"/>
      <x:c r="S32" s="18" t="str"/>
      <x:c r="T32" s="17" t="str"/>
      <x:c r="U32" s="19"/>
    </x:row>
    <x:row r="33">
      <x:c r="A33" s="17" t="str">
        <x:v>MTS-0032</x:v>
      </x:c>
      <x:c r="B33" s="17" t="str">
        <x:v>Fire Extinguisher Inspection</x:v>
      </x:c>
      <x:c r="C33" s="17" t="str">
        <x:v>Inspection Systems</x:v>
      </x:c>
      <x:c r="D33" s="17" t="str">
        <x:v>Mobile + SaaS</x:v>
      </x:c>
      <x:c r="E33" s="17" t="str">
        <x:v>Inspectors and operators</x:v>
      </x:c>
      <x:c r="F33" s="18" t="str">
        <x:v>Fire Extinguisher Inspection provides a focused inspection systems workflow for inspectors and operators.</x:v>
      </x:c>
      <x:c r="G33" s="18" t="str">
        <x:v>Inspection, Camera, Reports, Signature</x:v>
      </x:c>
      <x:c r="H33" s="17" t="str">
        <x:v>Subscription</x:v>
      </x:c>
      <x:c r="I33" s="17" t="str">
        <x:v>Medium</x:v>
      </x:c>
      <x:c r="J33" s="17" t="str">
        <x:v>New candidate</x:v>
      </x:c>
      <x:c r="K33" s="17" t="str">
        <x:v>Unreviewed</x:v>
      </x:c>
      <x:c r="L33" s="17"/>
      <x:c r="M33" s="17"/>
      <x:c r="N33" s="17"/>
      <x:c r="O33" s="17"/>
      <x:c r="P33" s="17"/>
      <x:c r="Q33" s="17" t="str">
        <x:f>IF(COUNT(L33:P33)&lt;5,"",ROUND((L33*25+M33*20+N33*20+O33*20+P33*15)/5,1))</x:f>
      </x:c>
      <x:c r="R33" s="18" t="str"/>
      <x:c r="S33" s="18" t="str"/>
      <x:c r="T33" s="17" t="str"/>
      <x:c r="U33" s="19"/>
    </x:row>
    <x:row r="34">
      <x:c r="A34" s="17" t="str">
        <x:v>MTS-0033</x:v>
      </x:c>
      <x:c r="B34" s="17" t="str">
        <x:v>Playground Inspection</x:v>
      </x:c>
      <x:c r="C34" s="17" t="str">
        <x:v>Inspection Systems</x:v>
      </x:c>
      <x:c r="D34" s="17" t="str">
        <x:v>Mobile + SaaS</x:v>
      </x:c>
      <x:c r="E34" s="17" t="str">
        <x:v>Inspectors and operators</x:v>
      </x:c>
      <x:c r="F34" s="18" t="str">
        <x:v>Playground Inspection provides a focused inspection systems workflow for inspectors and operators.</x:v>
      </x:c>
      <x:c r="G34" s="18" t="str">
        <x:v>Inspection, Camera, Reports, Signature</x:v>
      </x:c>
      <x:c r="H34" s="17" t="str">
        <x:v>Subscription</x:v>
      </x:c>
      <x:c r="I34" s="17" t="str">
        <x:v>Medium</x:v>
      </x:c>
      <x:c r="J34" s="17" t="str">
        <x:v>New candidate</x:v>
      </x:c>
      <x:c r="K34" s="17" t="str">
        <x:v>Unreviewed</x:v>
      </x:c>
      <x:c r="L34" s="17"/>
      <x:c r="M34" s="17"/>
      <x:c r="N34" s="17"/>
      <x:c r="O34" s="17"/>
      <x:c r="P34" s="17"/>
      <x:c r="Q34" s="17" t="str">
        <x:f>IF(COUNT(L34:P34)&lt;5,"",ROUND((L34*25+M34*20+N34*20+O34*20+P34*15)/5,1))</x:f>
      </x:c>
      <x:c r="R34" s="18" t="str"/>
      <x:c r="S34" s="18" t="str"/>
      <x:c r="T34" s="17" t="str"/>
      <x:c r="U34" s="19"/>
    </x:row>
    <x:row r="35">
      <x:c r="A35" s="17" t="str">
        <x:v>MTS-0034</x:v>
      </x:c>
      <x:c r="B35" s="17" t="str">
        <x:v>Pool Safety Inspection</x:v>
      </x:c>
      <x:c r="C35" s="17" t="str">
        <x:v>Inspection Systems</x:v>
      </x:c>
      <x:c r="D35" s="17" t="str">
        <x:v>Mobile + SaaS</x:v>
      </x:c>
      <x:c r="E35" s="17" t="str">
        <x:v>Inspectors and operators</x:v>
      </x:c>
      <x:c r="F35" s="18" t="str">
        <x:v>Pool Safety Inspection provides a focused inspection systems workflow for inspectors and operators.</x:v>
      </x:c>
      <x:c r="G35" s="18" t="str">
        <x:v>Inspection, Camera, Reports, Signature</x:v>
      </x:c>
      <x:c r="H35" s="17" t="str">
        <x:v>Subscription</x:v>
      </x:c>
      <x:c r="I35" s="17" t="str">
        <x:v>Medium</x:v>
      </x:c>
      <x:c r="J35" s="17" t="str">
        <x:v>New candidate</x:v>
      </x:c>
      <x:c r="K35" s="17" t="str">
        <x:v>Unreviewed</x:v>
      </x:c>
      <x:c r="L35" s="17"/>
      <x:c r="M35" s="17"/>
      <x:c r="N35" s="17"/>
      <x:c r="O35" s="17"/>
      <x:c r="P35" s="17"/>
      <x:c r="Q35" s="17" t="str">
        <x:f>IF(COUNT(L35:P35)&lt;5,"",ROUND((L35*25+M35*20+N35*20+O35*20+P35*15)/5,1))</x:f>
      </x:c>
      <x:c r="R35" s="18" t="str"/>
      <x:c r="S35" s="18" t="str"/>
      <x:c r="T35" s="17" t="str"/>
      <x:c r="U35" s="19"/>
    </x:row>
    <x:row r="36">
      <x:c r="A36" s="17" t="str">
        <x:v>MTS-0035</x:v>
      </x:c>
      <x:c r="B36" s="17" t="str">
        <x:v>Ladder Inspection Log</x:v>
      </x:c>
      <x:c r="C36" s="17" t="str">
        <x:v>Inspection Systems</x:v>
      </x:c>
      <x:c r="D36" s="17" t="str">
        <x:v>Mobile + SaaS</x:v>
      </x:c>
      <x:c r="E36" s="17" t="str">
        <x:v>Inspectors and operators</x:v>
      </x:c>
      <x:c r="F36" s="18" t="str">
        <x:v>Ladder Inspection Log provides a focused inspection systems workflow for inspectors and operators.</x:v>
      </x:c>
      <x:c r="G36" s="18" t="str">
        <x:v>Inspection, Camera, Reports, Signature</x:v>
      </x:c>
      <x:c r="H36" s="17" t="str">
        <x:v>Subscription</x:v>
      </x:c>
      <x:c r="I36" s="17" t="str">
        <x:v>Medium</x:v>
      </x:c>
      <x:c r="J36" s="17" t="str">
        <x:v>New candidate</x:v>
      </x:c>
      <x:c r="K36" s="17" t="str">
        <x:v>Unreviewed</x:v>
      </x:c>
      <x:c r="L36" s="17"/>
      <x:c r="M36" s="17"/>
      <x:c r="N36" s="17"/>
      <x:c r="O36" s="17"/>
      <x:c r="P36" s="17"/>
      <x:c r="Q36" s="17" t="str">
        <x:f>IF(COUNT(L36:P36)&lt;5,"",ROUND((L36*25+M36*20+N36*20+O36*20+P36*15)/5,1))</x:f>
      </x:c>
      <x:c r="R36" s="18" t="str"/>
      <x:c r="S36" s="18" t="str"/>
      <x:c r="T36" s="17" t="str"/>
      <x:c r="U36" s="19"/>
    </x:row>
    <x:row r="37">
      <x:c r="A37" s="17" t="str">
        <x:v>MTS-0036</x:v>
      </x:c>
      <x:c r="B37" s="17" t="str">
        <x:v>Warehouse Safety Inspection</x:v>
      </x:c>
      <x:c r="C37" s="17" t="str">
        <x:v>Inspection Systems</x:v>
      </x:c>
      <x:c r="D37" s="17" t="str">
        <x:v>Mobile + SaaS</x:v>
      </x:c>
      <x:c r="E37" s="17" t="str">
        <x:v>Inspectors and operators</x:v>
      </x:c>
      <x:c r="F37" s="18" t="str">
        <x:v>Warehouse Safety Inspection provides a focused inspection systems workflow for inspectors and operators.</x:v>
      </x:c>
      <x:c r="G37" s="18" t="str">
        <x:v>Inspection, Camera, Reports, Signature</x:v>
      </x:c>
      <x:c r="H37" s="17" t="str">
        <x:v>Subscription</x:v>
      </x:c>
      <x:c r="I37" s="17" t="str">
        <x:v>Medium</x:v>
      </x:c>
      <x:c r="J37" s="17" t="str">
        <x:v>New candidate</x:v>
      </x:c>
      <x:c r="K37" s="17" t="str">
        <x:v>Unreviewed</x:v>
      </x:c>
      <x:c r="L37" s="17"/>
      <x:c r="M37" s="17"/>
      <x:c r="N37" s="17"/>
      <x:c r="O37" s="17"/>
      <x:c r="P37" s="17"/>
      <x:c r="Q37" s="17" t="str">
        <x:f>IF(COUNT(L37:P37)&lt;5,"",ROUND((L37*25+M37*20+N37*20+O37*20+P37*15)/5,1))</x:f>
      </x:c>
      <x:c r="R37" s="18" t="str"/>
      <x:c r="S37" s="18" t="str"/>
      <x:c r="T37" s="17" t="str"/>
      <x:c r="U37" s="19"/>
    </x:row>
    <x:row r="38">
      <x:c r="A38" s="17" t="str">
        <x:v>MTS-0037</x:v>
      </x:c>
      <x:c r="B38" s="17" t="str">
        <x:v>Service Call Reporter</x:v>
      </x:c>
      <x:c r="C38" s="17" t="str">
        <x:v>Field Reports</x:v>
      </x:c>
      <x:c r="D38" s="17" t="str">
        <x:v>Mobile + SaaS</x:v>
      </x:c>
      <x:c r="E38" s="17" t="str">
        <x:v>Field-service businesses</x:v>
      </x:c>
      <x:c r="F38" s="18" t="str">
        <x:v>Service Call Reporter provides a focused field reports workflow for field-service businesses.</x:v>
      </x:c>
      <x:c r="G38" s="18" t="str">
        <x:v>Reports, Camera, Signature, Export</x:v>
      </x:c>
      <x:c r="H38" s="17" t="str">
        <x:v>Subscription</x:v>
      </x:c>
      <x:c r="I38" s="17" t="str">
        <x:v>Medium</x:v>
      </x:c>
      <x:c r="J38" s="17" t="str">
        <x:v>New candidate</x:v>
      </x:c>
      <x:c r="K38" s="17" t="str">
        <x:v>Unreviewed</x:v>
      </x:c>
      <x:c r="L38" s="17"/>
      <x:c r="M38" s="17"/>
      <x:c r="N38" s="17"/>
      <x:c r="O38" s="17"/>
      <x:c r="P38" s="17"/>
      <x:c r="Q38" s="17" t="str">
        <x:f>IF(COUNT(L38:P38)&lt;5,"",ROUND((L38*25+M38*20+N38*20+O38*20+P38*15)/5,1))</x:f>
      </x:c>
      <x:c r="R38" s="18" t="str"/>
      <x:c r="S38" s="18" t="str"/>
      <x:c r="T38" s="17" t="str"/>
      <x:c r="U38" s="19"/>
    </x:row>
    <x:row r="39">
      <x:c r="A39" s="17" t="str">
        <x:v>MTS-0038</x:v>
      </x:c>
      <x:c r="B39" s="17" t="str">
        <x:v>Punch List Manager</x:v>
      </x:c>
      <x:c r="C39" s="17" t="str">
        <x:v>Field Reports</x:v>
      </x:c>
      <x:c r="D39" s="17" t="str">
        <x:v>Mobile + SaaS</x:v>
      </x:c>
      <x:c r="E39" s="17" t="str">
        <x:v>Field-service businesses</x:v>
      </x:c>
      <x:c r="F39" s="18" t="str">
        <x:v>Punch List Manager provides a focused field reports workflow for field-service businesses.</x:v>
      </x:c>
      <x:c r="G39" s="18" t="str">
        <x:v>Reports, Camera, Signature, Export</x:v>
      </x:c>
      <x:c r="H39" s="17" t="str">
        <x:v>Subscription</x:v>
      </x:c>
      <x:c r="I39" s="17" t="str">
        <x:v>Medium</x:v>
      </x:c>
      <x:c r="J39" s="17" t="str">
        <x:v>New candidate</x:v>
      </x:c>
      <x:c r="K39" s="17" t="str">
        <x:v>Unreviewed</x:v>
      </x:c>
      <x:c r="L39" s="17"/>
      <x:c r="M39" s="17"/>
      <x:c r="N39" s="17"/>
      <x:c r="O39" s="17"/>
      <x:c r="P39" s="17"/>
      <x:c r="Q39" s="17" t="str">
        <x:f>IF(COUNT(L39:P39)&lt;5,"",ROUND((L39*25+M39*20+N39*20+O39*20+P39*15)/5,1))</x:f>
      </x:c>
      <x:c r="R39" s="18" t="str"/>
      <x:c r="S39" s="18" t="str"/>
      <x:c r="T39" s="17" t="str"/>
      <x:c r="U39" s="19"/>
    </x:row>
    <x:row r="40">
      <x:c r="A40" s="17" t="str">
        <x:v>MTS-0039</x:v>
      </x:c>
      <x:c r="B40" s="17" t="str">
        <x:v>Incident Report Builder</x:v>
      </x:c>
      <x:c r="C40" s="17" t="str">
        <x:v>Field Reports</x:v>
      </x:c>
      <x:c r="D40" s="17" t="str">
        <x:v>Mobile + SaaS</x:v>
      </x:c>
      <x:c r="E40" s="17" t="str">
        <x:v>Field-service businesses</x:v>
      </x:c>
      <x:c r="F40" s="18" t="str">
        <x:v>Incident Report Builder provides a focused field reports workflow for field-service businesses.</x:v>
      </x:c>
      <x:c r="G40" s="18" t="str">
        <x:v>Reports, Camera, Signature, Export</x:v>
      </x:c>
      <x:c r="H40" s="17" t="str">
        <x:v>Subscription</x:v>
      </x:c>
      <x:c r="I40" s="17" t="str">
        <x:v>Medium</x:v>
      </x:c>
      <x:c r="J40" s="17" t="str">
        <x:v>New candidate</x:v>
      </x:c>
      <x:c r="K40" s="17" t="str">
        <x:v>Unreviewed</x:v>
      </x:c>
      <x:c r="L40" s="17"/>
      <x:c r="M40" s="17"/>
      <x:c r="N40" s="17"/>
      <x:c r="O40" s="17"/>
      <x:c r="P40" s="17"/>
      <x:c r="Q40" s="17" t="str">
        <x:f>IF(COUNT(L40:P40)&lt;5,"",ROUND((L40*25+M40*20+N40*20+O40*20+P40*15)/5,1))</x:f>
      </x:c>
      <x:c r="R40" s="18" t="str"/>
      <x:c r="S40" s="18" t="str"/>
      <x:c r="T40" s="17" t="str"/>
      <x:c r="U40" s="19"/>
    </x:row>
    <x:row r="41">
      <x:c r="A41" s="17" t="str">
        <x:v>MTS-0040</x:v>
      </x:c>
      <x:c r="B41" s="17" t="str">
        <x:v>Damage Evidence Vault</x:v>
      </x:c>
      <x:c r="C41" s="17" t="str">
        <x:v>Field Reports</x:v>
      </x:c>
      <x:c r="D41" s="17" t="str">
        <x:v>Mobile + SaaS</x:v>
      </x:c>
      <x:c r="E41" s="17" t="str">
        <x:v>Field-service businesses</x:v>
      </x:c>
      <x:c r="F41" s="18" t="str">
        <x:v>Damage Evidence Vault provides a focused field reports workflow for field-service businesses.</x:v>
      </x:c>
      <x:c r="G41" s="18" t="str">
        <x:v>Reports, Camera, Signature, Export</x:v>
      </x:c>
      <x:c r="H41" s="17" t="str">
        <x:v>Subscription</x:v>
      </x:c>
      <x:c r="I41" s="17" t="str">
        <x:v>Medium</x:v>
      </x:c>
      <x:c r="J41" s="17" t="str">
        <x:v>New candidate</x:v>
      </x:c>
      <x:c r="K41" s="17" t="str">
        <x:v>Unreviewed</x:v>
      </x:c>
      <x:c r="L41" s="17"/>
      <x:c r="M41" s="17"/>
      <x:c r="N41" s="17"/>
      <x:c r="O41" s="17"/>
      <x:c r="P41" s="17"/>
      <x:c r="Q41" s="17" t="str">
        <x:f>IF(COUNT(L41:P41)&lt;5,"",ROUND((L41*25+M41*20+N41*20+O41*20+P41*15)/5,1))</x:f>
      </x:c>
      <x:c r="R41" s="18" t="str"/>
      <x:c r="S41" s="18" t="str"/>
      <x:c r="T41" s="17" t="str"/>
      <x:c r="U41" s="19"/>
    </x:row>
    <x:row r="42">
      <x:c r="A42" s="17" t="str">
        <x:v>MTS-0041</x:v>
      </x:c>
      <x:c r="B42" s="17" t="str">
        <x:v>Daily Construction Log</x:v>
      </x:c>
      <x:c r="C42" s="17" t="str">
        <x:v>Field Reports</x:v>
      </x:c>
      <x:c r="D42" s="17" t="str">
        <x:v>Mobile + SaaS</x:v>
      </x:c>
      <x:c r="E42" s="17" t="str">
        <x:v>Field-service businesses</x:v>
      </x:c>
      <x:c r="F42" s="18" t="str">
        <x:v>Daily Construction Log provides a focused field reports workflow for field-service businesses.</x:v>
      </x:c>
      <x:c r="G42" s="18" t="str">
        <x:v>Reports, Camera, Signature, Export</x:v>
      </x:c>
      <x:c r="H42" s="17" t="str">
        <x:v>Subscription</x:v>
      </x:c>
      <x:c r="I42" s="17" t="str">
        <x:v>Medium</x:v>
      </x:c>
      <x:c r="J42" s="17" t="str">
        <x:v>New candidate</x:v>
      </x:c>
      <x:c r="K42" s="17" t="str">
        <x:v>Unreviewed</x:v>
      </x:c>
      <x:c r="L42" s="17"/>
      <x:c r="M42" s="17"/>
      <x:c r="N42" s="17"/>
      <x:c r="O42" s="17"/>
      <x:c r="P42" s="17"/>
      <x:c r="Q42" s="17" t="str">
        <x:f>IF(COUNT(L42:P42)&lt;5,"",ROUND((L42*25+M42*20+N42*20+O42*20+P42*15)/5,1))</x:f>
      </x:c>
      <x:c r="R42" s="18" t="str"/>
      <x:c r="S42" s="18" t="str"/>
      <x:c r="T42" s="17" t="str"/>
      <x:c r="U42" s="19"/>
    </x:row>
    <x:row r="43">
      <x:c r="A43" s="17" t="str">
        <x:v>MTS-0042</x:v>
      </x:c>
      <x:c r="B43" s="17" t="str">
        <x:v>Cleaning Quality Report</x:v>
      </x:c>
      <x:c r="C43" s="17" t="str">
        <x:v>Field Reports</x:v>
      </x:c>
      <x:c r="D43" s="17" t="str">
        <x:v>Mobile + SaaS</x:v>
      </x:c>
      <x:c r="E43" s="17" t="str">
        <x:v>Field-service businesses</x:v>
      </x:c>
      <x:c r="F43" s="18" t="str">
        <x:v>Cleaning Quality Report provides a focused field reports workflow for field-service businesses.</x:v>
      </x:c>
      <x:c r="G43" s="18" t="str">
        <x:v>Reports, Camera, Signature, Export</x:v>
      </x:c>
      <x:c r="H43" s="17" t="str">
        <x:v>Subscription</x:v>
      </x:c>
      <x:c r="I43" s="17" t="str">
        <x:v>Medium</x:v>
      </x:c>
      <x:c r="J43" s="17" t="str">
        <x:v>New candidate</x:v>
      </x:c>
      <x:c r="K43" s="17" t="str">
        <x:v>Unreviewed</x:v>
      </x:c>
      <x:c r="L43" s="17"/>
      <x:c r="M43" s="17"/>
      <x:c r="N43" s="17"/>
      <x:c r="O43" s="17"/>
      <x:c r="P43" s="17"/>
      <x:c r="Q43" s="17" t="str">
        <x:f>IF(COUNT(L43:P43)&lt;5,"",ROUND((L43*25+M43*20+N43*20+O43*20+P43*15)/5,1))</x:f>
      </x:c>
      <x:c r="R43" s="18" t="str"/>
      <x:c r="S43" s="18" t="str"/>
      <x:c r="T43" s="17" t="str"/>
      <x:c r="U43" s="19"/>
    </x:row>
    <x:row r="44">
      <x:c r="A44" s="17" t="str">
        <x:v>MTS-0043</x:v>
      </x:c>
      <x:c r="B44" s="17" t="str">
        <x:v>Janitorial Audit Reporter</x:v>
      </x:c>
      <x:c r="C44" s="17" t="str">
        <x:v>Field Reports</x:v>
      </x:c>
      <x:c r="D44" s="17" t="str">
        <x:v>Mobile + SaaS</x:v>
      </x:c>
      <x:c r="E44" s="17" t="str">
        <x:v>Field-service businesses</x:v>
      </x:c>
      <x:c r="F44" s="18" t="str">
        <x:v>Janitorial Audit Reporter provides a focused field reports workflow for field-service businesses.</x:v>
      </x:c>
      <x:c r="G44" s="18" t="str">
        <x:v>Reports, Camera, Signature, Export</x:v>
      </x:c>
      <x:c r="H44" s="17" t="str">
        <x:v>Subscription</x:v>
      </x:c>
      <x:c r="I44" s="17" t="str">
        <x:v>Medium</x:v>
      </x:c>
      <x:c r="J44" s="17" t="str">
        <x:v>New candidate</x:v>
      </x:c>
      <x:c r="K44" s="17" t="str">
        <x:v>Unreviewed</x:v>
      </x:c>
      <x:c r="L44" s="17"/>
      <x:c r="M44" s="17"/>
      <x:c r="N44" s="17"/>
      <x:c r="O44" s="17"/>
      <x:c r="P44" s="17"/>
      <x:c r="Q44" s="17" t="str">
        <x:f>IF(COUNT(L44:P44)&lt;5,"",ROUND((L44*25+M44*20+N44*20+O44*20+P44*15)/5,1))</x:f>
      </x:c>
      <x:c r="R44" s="18" t="str"/>
      <x:c r="S44" s="18" t="str"/>
      <x:c r="T44" s="17" t="str"/>
      <x:c r="U44" s="19"/>
    </x:row>
    <x:row r="45">
      <x:c r="A45" s="17" t="str">
        <x:v>MTS-0044</x:v>
      </x:c>
      <x:c r="B45" s="17" t="str">
        <x:v>Pest Service Reporter</x:v>
      </x:c>
      <x:c r="C45" s="17" t="str">
        <x:v>Field Reports</x:v>
      </x:c>
      <x:c r="D45" s="17" t="str">
        <x:v>Mobile + SaaS</x:v>
      </x:c>
      <x:c r="E45" s="17" t="str">
        <x:v>Field-service businesses</x:v>
      </x:c>
      <x:c r="F45" s="18" t="str">
        <x:v>Pest Service Reporter provides a focused field reports workflow for field-service businesses.</x:v>
      </x:c>
      <x:c r="G45" s="18" t="str">
        <x:v>Reports, Camera, Signature, Export</x:v>
      </x:c>
      <x:c r="H45" s="17" t="str">
        <x:v>Subscription</x:v>
      </x:c>
      <x:c r="I45" s="17" t="str">
        <x:v>Medium</x:v>
      </x:c>
      <x:c r="J45" s="17" t="str">
        <x:v>New candidate</x:v>
      </x:c>
      <x:c r="K45" s="17" t="str">
        <x:v>Unreviewed</x:v>
      </x:c>
      <x:c r="L45" s="17"/>
      <x:c r="M45" s="17"/>
      <x:c r="N45" s="17"/>
      <x:c r="O45" s="17"/>
      <x:c r="P45" s="17"/>
      <x:c r="Q45" s="17" t="str">
        <x:f>IF(COUNT(L45:P45)&lt;5,"",ROUND((L45*25+M45*20+N45*20+O45*20+P45*15)/5,1))</x:f>
      </x:c>
      <x:c r="R45" s="18" t="str"/>
      <x:c r="S45" s="18" t="str"/>
      <x:c r="T45" s="17" t="str"/>
      <x:c r="U45" s="19"/>
    </x:row>
    <x:row r="46">
      <x:c r="A46" s="17" t="str">
        <x:v>MTS-0045</x:v>
      </x:c>
      <x:c r="B46" s="17" t="str">
        <x:v>Delivery Proof Manager</x:v>
      </x:c>
      <x:c r="C46" s="17" t="str">
        <x:v>Field Reports</x:v>
      </x:c>
      <x:c r="D46" s="17" t="str">
        <x:v>Mobile + SaaS</x:v>
      </x:c>
      <x:c r="E46" s="17" t="str">
        <x:v>Field-service businesses</x:v>
      </x:c>
      <x:c r="F46" s="18" t="str">
        <x:v>Delivery Proof Manager provides a focused field reports workflow for field-service businesses.</x:v>
      </x:c>
      <x:c r="G46" s="18" t="str">
        <x:v>Reports, Camera, Signature, Export</x:v>
      </x:c>
      <x:c r="H46" s="17" t="str">
        <x:v>Subscription</x:v>
      </x:c>
      <x:c r="I46" s="17" t="str">
        <x:v>Medium</x:v>
      </x:c>
      <x:c r="J46" s="17" t="str">
        <x:v>New candidate</x:v>
      </x:c>
      <x:c r="K46" s="17" t="str">
        <x:v>Unreviewed</x:v>
      </x:c>
      <x:c r="L46" s="17"/>
      <x:c r="M46" s="17"/>
      <x:c r="N46" s="17"/>
      <x:c r="O46" s="17"/>
      <x:c r="P46" s="17"/>
      <x:c r="Q46" s="17" t="str">
        <x:f>IF(COUNT(L46:P46)&lt;5,"",ROUND((L46*25+M46*20+N46*20+O46*20+P46*15)/5,1))</x:f>
      </x:c>
      <x:c r="R46" s="18" t="str"/>
      <x:c r="S46" s="18" t="str"/>
      <x:c r="T46" s="17" t="str"/>
      <x:c r="U46" s="19"/>
    </x:row>
    <x:row r="47">
      <x:c r="A47" s="17" t="str">
        <x:v>MTS-0046</x:v>
      </x:c>
      <x:c r="B47" s="17" t="str">
        <x:v>Field Survey Notebook</x:v>
      </x:c>
      <x:c r="C47" s="17" t="str">
        <x:v>Field Reports</x:v>
      </x:c>
      <x:c r="D47" s="17" t="str">
        <x:v>Mobile + SaaS</x:v>
      </x:c>
      <x:c r="E47" s="17" t="str">
        <x:v>Field-service businesses</x:v>
      </x:c>
      <x:c r="F47" s="18" t="str">
        <x:v>Field Survey Notebook provides a focused field reports workflow for field-service businesses.</x:v>
      </x:c>
      <x:c r="G47" s="18" t="str">
        <x:v>Reports, Camera, Signature, Export</x:v>
      </x:c>
      <x:c r="H47" s="17" t="str">
        <x:v>Subscription</x:v>
      </x:c>
      <x:c r="I47" s="17" t="str">
        <x:v>Medium</x:v>
      </x:c>
      <x:c r="J47" s="17" t="str">
        <x:v>New candidate</x:v>
      </x:c>
      <x:c r="K47" s="17" t="str">
        <x:v>Unreviewed</x:v>
      </x:c>
      <x:c r="L47" s="17"/>
      <x:c r="M47" s="17"/>
      <x:c r="N47" s="17"/>
      <x:c r="O47" s="17"/>
      <x:c r="P47" s="17"/>
      <x:c r="Q47" s="17" t="str">
        <x:f>IF(COUNT(L47:P47)&lt;5,"",ROUND((L47*25+M47*20+N47*20+O47*20+P47*15)/5,1))</x:f>
      </x:c>
      <x:c r="R47" s="18" t="str"/>
      <x:c r="S47" s="18" t="str"/>
      <x:c r="T47" s="17" t="str"/>
      <x:c r="U47" s="19"/>
    </x:row>
    <x:row r="48">
      <x:c r="A48" s="17" t="str">
        <x:v>MTS-0047</x:v>
      </x:c>
      <x:c r="B48" s="17" t="str">
        <x:v>Client Approval Capture</x:v>
      </x:c>
      <x:c r="C48" s="17" t="str">
        <x:v>Field Reports</x:v>
      </x:c>
      <x:c r="D48" s="17" t="str">
        <x:v>Mobile + SaaS</x:v>
      </x:c>
      <x:c r="E48" s="17" t="str">
        <x:v>Field-service businesses</x:v>
      </x:c>
      <x:c r="F48" s="18" t="str">
        <x:v>Client Approval Capture provides a focused field reports workflow for field-service businesses.</x:v>
      </x:c>
      <x:c r="G48" s="18" t="str">
        <x:v>Reports, Camera, Signature, Export</x:v>
      </x:c>
      <x:c r="H48" s="17" t="str">
        <x:v>Subscription</x:v>
      </x:c>
      <x:c r="I48" s="17" t="str">
        <x:v>Medium</x:v>
      </x:c>
      <x:c r="J48" s="17" t="str">
        <x:v>New candidate</x:v>
      </x:c>
      <x:c r="K48" s="17" t="str">
        <x:v>Unreviewed</x:v>
      </x:c>
      <x:c r="L48" s="17"/>
      <x:c r="M48" s="17"/>
      <x:c r="N48" s="17"/>
      <x:c r="O48" s="17"/>
      <x:c r="P48" s="17"/>
      <x:c r="Q48" s="17" t="str">
        <x:f>IF(COUNT(L48:P48)&lt;5,"",ROUND((L48*25+M48*20+N48*20+O48*20+P48*15)/5,1))</x:f>
      </x:c>
      <x:c r="R48" s="18" t="str"/>
      <x:c r="S48" s="18" t="str"/>
      <x:c r="T48" s="17" t="str"/>
      <x:c r="U48" s="19"/>
    </x:row>
    <x:row r="49">
      <x:c r="A49" s="17" t="str">
        <x:v>MTS-0048</x:v>
      </x:c>
      <x:c r="B49" s="17" t="str">
        <x:v>Maintenance Work Order Reporter</x:v>
      </x:c>
      <x:c r="C49" s="17" t="str">
        <x:v>Field Reports</x:v>
      </x:c>
      <x:c r="D49" s="17" t="str">
        <x:v>Mobile + SaaS</x:v>
      </x:c>
      <x:c r="E49" s="17" t="str">
        <x:v>Field-service businesses</x:v>
      </x:c>
      <x:c r="F49" s="18" t="str">
        <x:v>Maintenance Work Order Reporter provides a focused field reports workflow for field-service businesses.</x:v>
      </x:c>
      <x:c r="G49" s="18" t="str">
        <x:v>Reports, Camera, Signature, Export</x:v>
      </x:c>
      <x:c r="H49" s="17" t="str">
        <x:v>Subscription</x:v>
      </x:c>
      <x:c r="I49" s="17" t="str">
        <x:v>Medium</x:v>
      </x:c>
      <x:c r="J49" s="17" t="str">
        <x:v>New candidate</x:v>
      </x:c>
      <x:c r="K49" s="17" t="str">
        <x:v>Unreviewed</x:v>
      </x:c>
      <x:c r="L49" s="17"/>
      <x:c r="M49" s="17"/>
      <x:c r="N49" s="17"/>
      <x:c r="O49" s="17"/>
      <x:c r="P49" s="17"/>
      <x:c r="Q49" s="17" t="str">
        <x:f>IF(COUNT(L49:P49)&lt;5,"",ROUND((L49*25+M49*20+N49*20+O49*20+P49*15)/5,1))</x:f>
      </x:c>
      <x:c r="R49" s="18" t="str"/>
      <x:c r="S49" s="18" t="str"/>
      <x:c r="T49" s="17" t="str"/>
      <x:c r="U49" s="19"/>
    </x:row>
    <x:row r="50">
      <x:c r="A50" s="17" t="str">
        <x:v>MTS-0049</x:v>
      </x:c>
      <x:c r="B50" s="17" t="str">
        <x:v>Maxxed Compass</x:v>
      </x:c>
      <x:c r="C50" s="17" t="str">
        <x:v>Outdoor and Navigation</x:v>
      </x:c>
      <x:c r="D50" s="17" t="str">
        <x:v>Mobile App</x:v>
      </x:c>
      <x:c r="E50" s="17" t="str">
        <x:v>Outdoor users</x:v>
      </x:c>
      <x:c r="F50" s="18" t="str">
        <x:v>Maxxed Compass provides a focused outdoor and navigation workflow for outdoor users.</x:v>
      </x:c>
      <x:c r="G50" s="18" t="str">
        <x:v>Sensors, Maps, Offline Storage, Weather</x:v>
      </x:c>
      <x:c r="H50" s="17" t="str">
        <x:v>Ads + Pro</x:v>
      </x:c>
      <x:c r="I50" s="17" t="str">
        <x:v>Medium</x:v>
      </x:c>
      <x:c r="J50" s="17" t="str">
        <x:v>Existing discussion/project</x:v>
      </x:c>
      <x:c r="K50" s="17" t="str">
        <x:v>Unreviewed</x:v>
      </x:c>
      <x:c r="L50" s="17"/>
      <x:c r="M50" s="17"/>
      <x:c r="N50" s="17"/>
      <x:c r="O50" s="17"/>
      <x:c r="P50" s="17"/>
      <x:c r="Q50" s="17" t="str">
        <x:f>IF(COUNT(L50:P50)&lt;5,"",ROUND((L50*25+M50*20+N50*20+O50*20+P50*15)/5,1))</x:f>
      </x:c>
      <x:c r="R50" s="18" t="str"/>
      <x:c r="S50" s="18" t="str"/>
      <x:c r="T50" s="17" t="str"/>
      <x:c r="U50" s="19"/>
    </x:row>
    <x:row r="51">
      <x:c r="A51" s="17" t="str">
        <x:v>MTS-0050</x:v>
      </x:c>
      <x:c r="B51" s="17" t="str">
        <x:v>Fishing Maxxed</x:v>
      </x:c>
      <x:c r="C51" s="17" t="str">
        <x:v>Outdoor and Navigation</x:v>
      </x:c>
      <x:c r="D51" s="17" t="str">
        <x:v>Mobile App</x:v>
      </x:c>
      <x:c r="E51" s="17" t="str">
        <x:v>Outdoor users</x:v>
      </x:c>
      <x:c r="F51" s="18" t="str">
        <x:v>Fishing Maxxed provides a focused outdoor and navigation workflow for outdoor users.</x:v>
      </x:c>
      <x:c r="G51" s="18" t="str">
        <x:v>Sensors, Maps, Offline Storage, Weather</x:v>
      </x:c>
      <x:c r="H51" s="17" t="str">
        <x:v>Ads + Pro</x:v>
      </x:c>
      <x:c r="I51" s="17" t="str">
        <x:v>Medium</x:v>
      </x:c>
      <x:c r="J51" s="17" t="str">
        <x:v>Existing discussion/project</x:v>
      </x:c>
      <x:c r="K51" s="17" t="str">
        <x:v>Unreviewed</x:v>
      </x:c>
      <x:c r="L51" s="17"/>
      <x:c r="M51" s="17"/>
      <x:c r="N51" s="17"/>
      <x:c r="O51" s="17"/>
      <x:c r="P51" s="17"/>
      <x:c r="Q51" s="17" t="str">
        <x:f>IF(COUNT(L51:P51)&lt;5,"",ROUND((L51*25+M51*20+N51*20+O51*20+P51*15)/5,1))</x:f>
      </x:c>
      <x:c r="R51" s="18" t="str"/>
      <x:c r="S51" s="18" t="str"/>
      <x:c r="T51" s="17" t="str"/>
      <x:c r="U51" s="19"/>
    </x:row>
    <x:row r="52">
      <x:c r="A52" s="17" t="str">
        <x:v>MTS-0051</x:v>
      </x:c>
      <x:c r="B52" s="17" t="str">
        <x:v>Trail Waypoint Notebook</x:v>
      </x:c>
      <x:c r="C52" s="17" t="str">
        <x:v>Outdoor and Navigation</x:v>
      </x:c>
      <x:c r="D52" s="17" t="str">
        <x:v>Mobile App</x:v>
      </x:c>
      <x:c r="E52" s="17" t="str">
        <x:v>Outdoor users</x:v>
      </x:c>
      <x:c r="F52" s="18" t="str">
        <x:v>Trail Waypoint Notebook provides a focused outdoor and navigation workflow for outdoor users.</x:v>
      </x:c>
      <x:c r="G52" s="18" t="str">
        <x:v>Sensors, Maps, Offline Storage, Weather</x:v>
      </x:c>
      <x:c r="H52" s="17" t="str">
        <x:v>Ads + Pro</x:v>
      </x:c>
      <x:c r="I52" s="17" t="str">
        <x:v>Medium</x:v>
      </x:c>
      <x:c r="J52" s="17" t="str">
        <x:v>New candidate</x:v>
      </x:c>
      <x:c r="K52" s="17" t="str">
        <x:v>Unreviewed</x:v>
      </x:c>
      <x:c r="L52" s="17"/>
      <x:c r="M52" s="17"/>
      <x:c r="N52" s="17"/>
      <x:c r="O52" s="17"/>
      <x:c r="P52" s="17"/>
      <x:c r="Q52" s="17" t="str">
        <x:f>IF(COUNT(L52:P52)&lt;5,"",ROUND((L52*25+M52*20+N52*20+O52*20+P52*15)/5,1))</x:f>
      </x:c>
      <x:c r="R52" s="18" t="str"/>
      <x:c r="S52" s="18" t="str"/>
      <x:c r="T52" s="17" t="str"/>
      <x:c r="U52" s="19"/>
    </x:row>
    <x:row r="53">
      <x:c r="A53" s="17" t="str">
        <x:v>MTS-0052</x:v>
      </x:c>
      <x:c r="B53" s="17" t="str">
        <x:v>Hunting Stand Log</x:v>
      </x:c>
      <x:c r="C53" s="17" t="str">
        <x:v>Outdoor and Navigation</x:v>
      </x:c>
      <x:c r="D53" s="17" t="str">
        <x:v>Mobile App</x:v>
      </x:c>
      <x:c r="E53" s="17" t="str">
        <x:v>Outdoor users</x:v>
      </x:c>
      <x:c r="F53" s="18" t="str">
        <x:v>Hunting Stand Log provides a focused outdoor and navigation workflow for outdoor users.</x:v>
      </x:c>
      <x:c r="G53" s="18" t="str">
        <x:v>Sensors, Maps, Offline Storage, Weather</x:v>
      </x:c>
      <x:c r="H53" s="17" t="str">
        <x:v>Ads + Pro</x:v>
      </x:c>
      <x:c r="I53" s="17" t="str">
        <x:v>Medium</x:v>
      </x:c>
      <x:c r="J53" s="17" t="str">
        <x:v>New candidate</x:v>
      </x:c>
      <x:c r="K53" s="17" t="str">
        <x:v>Unreviewed</x:v>
      </x:c>
      <x:c r="L53" s="17"/>
      <x:c r="M53" s="17"/>
      <x:c r="N53" s="17"/>
      <x:c r="O53" s="17"/>
      <x:c r="P53" s="17"/>
      <x:c r="Q53" s="17" t="str">
        <x:f>IF(COUNT(L53:P53)&lt;5,"",ROUND((L53*25+M53*20+N53*20+O53*20+P53*15)/5,1))</x:f>
      </x:c>
      <x:c r="R53" s="18" t="str"/>
      <x:c r="S53" s="18" t="str"/>
      <x:c r="T53" s="17" t="str"/>
      <x:c r="U53" s="19"/>
    </x:row>
    <x:row r="54">
      <x:c r="A54" s="17" t="str">
        <x:v>MTS-0053</x:v>
      </x:c>
      <x:c r="B54" s="17" t="str">
        <x:v>Camping Trip Planner</x:v>
      </x:c>
      <x:c r="C54" s="17" t="str">
        <x:v>Outdoor and Navigation</x:v>
      </x:c>
      <x:c r="D54" s="17" t="str">
        <x:v>Mobile App</x:v>
      </x:c>
      <x:c r="E54" s="17" t="str">
        <x:v>Outdoor users</x:v>
      </x:c>
      <x:c r="F54" s="18" t="str">
        <x:v>Camping Trip Planner provides a focused outdoor and navigation workflow for outdoor users.</x:v>
      </x:c>
      <x:c r="G54" s="18" t="str">
        <x:v>Sensors, Maps, Offline Storage, Weather</x:v>
      </x:c>
      <x:c r="H54" s="17" t="str">
        <x:v>Ads + Pro</x:v>
      </x:c>
      <x:c r="I54" s="17" t="str">
        <x:v>Medium</x:v>
      </x:c>
      <x:c r="J54" s="17" t="str">
        <x:v>New candidate</x:v>
      </x:c>
      <x:c r="K54" s="17" t="str">
        <x:v>Unreviewed</x:v>
      </x:c>
      <x:c r="L54" s="17"/>
      <x:c r="M54" s="17"/>
      <x:c r="N54" s="17"/>
      <x:c r="O54" s="17"/>
      <x:c r="P54" s="17"/>
      <x:c r="Q54" s="17" t="str">
        <x:f>IF(COUNT(L54:P54)&lt;5,"",ROUND((L54*25+M54*20+N54*20+O54*20+P54*15)/5,1))</x:f>
      </x:c>
      <x:c r="R54" s="18" t="str"/>
      <x:c r="S54" s="18" t="str"/>
      <x:c r="T54" s="17" t="str"/>
      <x:c r="U54" s="19"/>
    </x:row>
    <x:row r="55">
      <x:c r="A55" s="17" t="str">
        <x:v>MTS-0054</x:v>
      </x:c>
      <x:c r="B55" s="17" t="str">
        <x:v>Solar Shade Tracker</x:v>
      </x:c>
      <x:c r="C55" s="17" t="str">
        <x:v>Outdoor and Navigation</x:v>
      </x:c>
      <x:c r="D55" s="17" t="str">
        <x:v>Mobile App</x:v>
      </x:c>
      <x:c r="E55" s="17" t="str">
        <x:v>Outdoor users</x:v>
      </x:c>
      <x:c r="F55" s="18" t="str">
        <x:v>Solar Shade Tracker provides a focused outdoor and navigation workflow for outdoor users.</x:v>
      </x:c>
      <x:c r="G55" s="18" t="str">
        <x:v>Sensors, Maps, Offline Storage, Weather</x:v>
      </x:c>
      <x:c r="H55" s="17" t="str">
        <x:v>Ads + Pro</x:v>
      </x:c>
      <x:c r="I55" s="17" t="str">
        <x:v>Medium</x:v>
      </x:c>
      <x:c r="J55" s="17" t="str">
        <x:v>New candidate</x:v>
      </x:c>
      <x:c r="K55" s="17" t="str">
        <x:v>Unreviewed</x:v>
      </x:c>
      <x:c r="L55" s="17"/>
      <x:c r="M55" s="17"/>
      <x:c r="N55" s="17"/>
      <x:c r="O55" s="17"/>
      <x:c r="P55" s="17"/>
      <x:c r="Q55" s="17" t="str">
        <x:f>IF(COUNT(L55:P55)&lt;5,"",ROUND((L55*25+M55*20+N55*20+O55*20+P55*15)/5,1))</x:f>
      </x:c>
      <x:c r="R55" s="18" t="str"/>
      <x:c r="S55" s="18" t="str"/>
      <x:c r="T55" s="17" t="str"/>
      <x:c r="U55" s="19"/>
    </x:row>
    <x:row r="56">
      <x:c r="A56" s="17" t="str">
        <x:v>MTS-0055</x:v>
      </x:c>
      <x:c r="B56" s="17" t="str">
        <x:v>Mobile Signal Surveyor</x:v>
      </x:c>
      <x:c r="C56" s="17" t="str">
        <x:v>Outdoor and Navigation</x:v>
      </x:c>
      <x:c r="D56" s="17" t="str">
        <x:v>Mobile App</x:v>
      </x:c>
      <x:c r="E56" s="17" t="str">
        <x:v>Outdoor users</x:v>
      </x:c>
      <x:c r="F56" s="18" t="str">
        <x:v>Mobile Signal Surveyor provides a focused outdoor and navigation workflow for outdoor users.</x:v>
      </x:c>
      <x:c r="G56" s="18" t="str">
        <x:v>Sensors, Maps, Offline Storage, Weather</x:v>
      </x:c>
      <x:c r="H56" s="17" t="str">
        <x:v>Ads + Pro</x:v>
      </x:c>
      <x:c r="I56" s="17" t="str">
        <x:v>Medium</x:v>
      </x:c>
      <x:c r="J56" s="17" t="str">
        <x:v>New candidate</x:v>
      </x:c>
      <x:c r="K56" s="17" t="str">
        <x:v>Unreviewed</x:v>
      </x:c>
      <x:c r="L56" s="17"/>
      <x:c r="M56" s="17"/>
      <x:c r="N56" s="17"/>
      <x:c r="O56" s="17"/>
      <x:c r="P56" s="17"/>
      <x:c r="Q56" s="17" t="str">
        <x:f>IF(COUNT(L56:P56)&lt;5,"",ROUND((L56*25+M56*20+N56*20+O56*20+P56*15)/5,1))</x:f>
      </x:c>
      <x:c r="R56" s="18" t="str"/>
      <x:c r="S56" s="18" t="str"/>
      <x:c r="T56" s="17" t="str"/>
      <x:c r="U56" s="19"/>
    </x:row>
    <x:row r="57">
      <x:c r="A57" s="17" t="str">
        <x:v>MTS-0056</x:v>
      </x:c>
      <x:c r="B57" s="17" t="str">
        <x:v>Outdoor Weather Log</x:v>
      </x:c>
      <x:c r="C57" s="17" t="str">
        <x:v>Outdoor and Navigation</x:v>
      </x:c>
      <x:c r="D57" s="17" t="str">
        <x:v>Mobile App</x:v>
      </x:c>
      <x:c r="E57" s="17" t="str">
        <x:v>Outdoor users</x:v>
      </x:c>
      <x:c r="F57" s="18" t="str">
        <x:v>Outdoor Weather Log provides a focused outdoor and navigation workflow for outdoor users.</x:v>
      </x:c>
      <x:c r="G57" s="18" t="str">
        <x:v>Sensors, Maps, Offline Storage, Weather</x:v>
      </x:c>
      <x:c r="H57" s="17" t="str">
        <x:v>Ads + Pro</x:v>
      </x:c>
      <x:c r="I57" s="17" t="str">
        <x:v>Medium</x:v>
      </x:c>
      <x:c r="J57" s="17" t="str">
        <x:v>New candidate</x:v>
      </x:c>
      <x:c r="K57" s="17" t="str">
        <x:v>Unreviewed</x:v>
      </x:c>
      <x:c r="L57" s="17"/>
      <x:c r="M57" s="17"/>
      <x:c r="N57" s="17"/>
      <x:c r="O57" s="17"/>
      <x:c r="P57" s="17"/>
      <x:c r="Q57" s="17" t="str">
        <x:f>IF(COUNT(L57:P57)&lt;5,"",ROUND((L57*25+M57*20+N57*20+O57*20+P57*15)/5,1))</x:f>
      </x:c>
      <x:c r="R57" s="18" t="str"/>
      <x:c r="S57" s="18" t="str"/>
      <x:c r="T57" s="17" t="str"/>
      <x:c r="U57" s="19"/>
    </x:row>
    <x:row r="58">
      <x:c r="A58" s="17" t="str">
        <x:v>MTS-0057</x:v>
      </x:c>
      <x:c r="B58" s="17" t="str">
        <x:v>Tide and Fishing Log</x:v>
      </x:c>
      <x:c r="C58" s="17" t="str">
        <x:v>Outdoor and Navigation</x:v>
      </x:c>
      <x:c r="D58" s="17" t="str">
        <x:v>Mobile App</x:v>
      </x:c>
      <x:c r="E58" s="17" t="str">
        <x:v>Outdoor users</x:v>
      </x:c>
      <x:c r="F58" s="18" t="str">
        <x:v>Tide and Fishing Log provides a focused outdoor and navigation workflow for outdoor users.</x:v>
      </x:c>
      <x:c r="G58" s="18" t="str">
        <x:v>Sensors, Maps, Offline Storage, Weather</x:v>
      </x:c>
      <x:c r="H58" s="17" t="str">
        <x:v>Ads + Pro</x:v>
      </x:c>
      <x:c r="I58" s="17" t="str">
        <x:v>Medium</x:v>
      </x:c>
      <x:c r="J58" s="17" t="str">
        <x:v>New candidate</x:v>
      </x:c>
      <x:c r="K58" s="17" t="str">
        <x:v>Unreviewed</x:v>
      </x:c>
      <x:c r="L58" s="17"/>
      <x:c r="M58" s="17"/>
      <x:c r="N58" s="17"/>
      <x:c r="O58" s="17"/>
      <x:c r="P58" s="17"/>
      <x:c r="Q58" s="17" t="str">
        <x:f>IF(COUNT(L58:P58)&lt;5,"",ROUND((L58*25+M58*20+N58*20+O58*20+P58*15)/5,1))</x:f>
      </x:c>
      <x:c r="R58" s="18" t="str"/>
      <x:c r="S58" s="18" t="str"/>
      <x:c r="T58" s="17" t="str"/>
      <x:c r="U58" s="19"/>
    </x:row>
    <x:row r="59">
      <x:c r="A59" s="17" t="str">
        <x:v>MTS-0058</x:v>
      </x:c>
      <x:c r="B59" s="17" t="str">
        <x:v>Rockhounding Field Log</x:v>
      </x:c>
      <x:c r="C59" s="17" t="str">
        <x:v>Outdoor and Navigation</x:v>
      </x:c>
      <x:c r="D59" s="17" t="str">
        <x:v>Mobile App</x:v>
      </x:c>
      <x:c r="E59" s="17" t="str">
        <x:v>Outdoor users</x:v>
      </x:c>
      <x:c r="F59" s="18" t="str">
        <x:v>Rockhounding Field Log provides a focused outdoor and navigation workflow for outdoor users.</x:v>
      </x:c>
      <x:c r="G59" s="18" t="str">
        <x:v>Sensors, Maps, Offline Storage, Weather</x:v>
      </x:c>
      <x:c r="H59" s="17" t="str">
        <x:v>Ads + Pro</x:v>
      </x:c>
      <x:c r="I59" s="17" t="str">
        <x:v>Medium</x:v>
      </x:c>
      <x:c r="J59" s="17" t="str">
        <x:v>New candidate</x:v>
      </x:c>
      <x:c r="K59" s="17" t="str">
        <x:v>Unreviewed</x:v>
      </x:c>
      <x:c r="L59" s="17"/>
      <x:c r="M59" s="17"/>
      <x:c r="N59" s="17"/>
      <x:c r="O59" s="17"/>
      <x:c r="P59" s="17"/>
      <x:c r="Q59" s="17" t="str">
        <x:f>IF(COUNT(L59:P59)&lt;5,"",ROUND((L59*25+M59*20+N59*20+O59*20+P59*15)/5,1))</x:f>
      </x:c>
      <x:c r="R59" s="18" t="str"/>
      <x:c r="S59" s="18" t="str"/>
      <x:c r="T59" s="17" t="str"/>
      <x:c r="U59" s="19"/>
    </x:row>
    <x:row r="60">
      <x:c r="A60" s="17" t="str">
        <x:v>MTS-0059</x:v>
      </x:c>
      <x:c r="B60" s="17" t="str">
        <x:v>Stargazing Session Planner</x:v>
      </x:c>
      <x:c r="C60" s="17" t="str">
        <x:v>Outdoor and Navigation</x:v>
      </x:c>
      <x:c r="D60" s="17" t="str">
        <x:v>Mobile App</x:v>
      </x:c>
      <x:c r="E60" s="17" t="str">
        <x:v>Outdoor users</x:v>
      </x:c>
      <x:c r="F60" s="18" t="str">
        <x:v>Stargazing Session Planner provides a focused outdoor and navigation workflow for outdoor users.</x:v>
      </x:c>
      <x:c r="G60" s="18" t="str">
        <x:v>Sensors, Maps, Offline Storage, Weather</x:v>
      </x:c>
      <x:c r="H60" s="17" t="str">
        <x:v>Ads + Pro</x:v>
      </x:c>
      <x:c r="I60" s="17" t="str">
        <x:v>Medium</x:v>
      </x:c>
      <x:c r="J60" s="17" t="str">
        <x:v>New candidate</x:v>
      </x:c>
      <x:c r="K60" s="17" t="str">
        <x:v>Unreviewed</x:v>
      </x:c>
      <x:c r="L60" s="17"/>
      <x:c r="M60" s="17"/>
      <x:c r="N60" s="17"/>
      <x:c r="O60" s="17"/>
      <x:c r="P60" s="17"/>
      <x:c r="Q60" s="17" t="str">
        <x:f>IF(COUNT(L60:P60)&lt;5,"",ROUND((L60*25+M60*20+N60*20+O60*20+P60*15)/5,1))</x:f>
      </x:c>
      <x:c r="R60" s="18" t="str"/>
      <x:c r="S60" s="18" t="str"/>
      <x:c r="T60" s="17" t="str"/>
      <x:c r="U60" s="19"/>
    </x:row>
    <x:row r="61">
      <x:c r="A61" s="17" t="str">
        <x:v>MTS-0060</x:v>
      </x:c>
      <x:c r="B61" s="17" t="str">
        <x:v>Geocache Notebook</x:v>
      </x:c>
      <x:c r="C61" s="17" t="str">
        <x:v>Outdoor and Navigation</x:v>
      </x:c>
      <x:c r="D61" s="17" t="str">
        <x:v>Mobile App</x:v>
      </x:c>
      <x:c r="E61" s="17" t="str">
        <x:v>Outdoor users</x:v>
      </x:c>
      <x:c r="F61" s="18" t="str">
        <x:v>Geocache Notebook provides a focused outdoor and navigation workflow for outdoor users.</x:v>
      </x:c>
      <x:c r="G61" s="18" t="str">
        <x:v>Sensors, Maps, Offline Storage, Weather</x:v>
      </x:c>
      <x:c r="H61" s="17" t="str">
        <x:v>Ads + Pro</x:v>
      </x:c>
      <x:c r="I61" s="17" t="str">
        <x:v>Medium</x:v>
      </x:c>
      <x:c r="J61" s="17" t="str">
        <x:v>New candidate</x:v>
      </x:c>
      <x:c r="K61" s="17" t="str">
        <x:v>Unreviewed</x:v>
      </x:c>
      <x:c r="L61" s="17"/>
      <x:c r="M61" s="17"/>
      <x:c r="N61" s="17"/>
      <x:c r="O61" s="17"/>
      <x:c r="P61" s="17"/>
      <x:c r="Q61" s="17" t="str">
        <x:f>IF(COUNT(L61:P61)&lt;5,"",ROUND((L61*25+M61*20+N61*20+O61*20+P61*15)/5,1))</x:f>
      </x:c>
      <x:c r="R61" s="18" t="str"/>
      <x:c r="S61" s="18" t="str"/>
      <x:c r="T61" s="17" t="str"/>
      <x:c r="U61" s="19"/>
    </x:row>
    <x:row r="62">
      <x:c r="A62" s="17" t="str">
        <x:v>MTS-0061</x:v>
      </x:c>
      <x:c r="B62" s="17" t="str">
        <x:v>Trailer Level Maxxed</x:v>
      </x:c>
      <x:c r="C62" s="17" t="str">
        <x:v>Vehicle and RV</x:v>
      </x:c>
      <x:c r="D62" s="17" t="str">
        <x:v>Mobile App</x:v>
      </x:c>
      <x:c r="E62" s="17" t="str">
        <x:v>Drivers and RV owners</x:v>
      </x:c>
      <x:c r="F62" s="18" t="str">
        <x:v>Trailer Level Maxxed provides a focused vehicle and rv workflow for drivers and rv owners.</x:v>
      </x:c>
      <x:c r="G62" s="18" t="str">
        <x:v>Estimator, Maintenance, Sensors, Reports</x:v>
      </x:c>
      <x:c r="H62" s="17" t="str">
        <x:v>Ads + Pro</x:v>
      </x:c>
      <x:c r="I62" s="17" t="str">
        <x:v>Small</x:v>
      </x:c>
      <x:c r="J62" s="17" t="str">
        <x:v>New candidate</x:v>
      </x:c>
      <x:c r="K62" s="17" t="str">
        <x:v>Unreviewed</x:v>
      </x:c>
      <x:c r="L62" s="17"/>
      <x:c r="M62" s="17"/>
      <x:c r="N62" s="17"/>
      <x:c r="O62" s="17"/>
      <x:c r="P62" s="17"/>
      <x:c r="Q62" s="17" t="str">
        <x:f>IF(COUNT(L62:P62)&lt;5,"",ROUND((L62*25+M62*20+N62*20+O62*20+P62*15)/5,1))</x:f>
      </x:c>
      <x:c r="R62" s="18" t="str"/>
      <x:c r="S62" s="18" t="str"/>
      <x:c r="T62" s="17" t="str"/>
      <x:c r="U62" s="19"/>
    </x:row>
    <x:row r="63">
      <x:c r="A63" s="17" t="str">
        <x:v>MTS-0062</x:v>
      </x:c>
      <x:c r="B63" s="17" t="str">
        <x:v>Towing Payload Calculator</x:v>
      </x:c>
      <x:c r="C63" s="17" t="str">
        <x:v>Vehicle and RV</x:v>
      </x:c>
      <x:c r="D63" s="17" t="str">
        <x:v>Mobile App</x:v>
      </x:c>
      <x:c r="E63" s="17" t="str">
        <x:v>Drivers and RV owners</x:v>
      </x:c>
      <x:c r="F63" s="18" t="str">
        <x:v>Towing Payload Calculator provides a focused vehicle and rv workflow for drivers and rv owners.</x:v>
      </x:c>
      <x:c r="G63" s="18" t="str">
        <x:v>Estimator, Maintenance, Sensors, Reports</x:v>
      </x:c>
      <x:c r="H63" s="17" t="str">
        <x:v>Ads + Pro</x:v>
      </x:c>
      <x:c r="I63" s="17" t="str">
        <x:v>Small</x:v>
      </x:c>
      <x:c r="J63" s="17" t="str">
        <x:v>New candidate</x:v>
      </x:c>
      <x:c r="K63" s="17" t="str">
        <x:v>Unreviewed</x:v>
      </x:c>
      <x:c r="L63" s="17"/>
      <x:c r="M63" s="17"/>
      <x:c r="N63" s="17"/>
      <x:c r="O63" s="17"/>
      <x:c r="P63" s="17"/>
      <x:c r="Q63" s="17" t="str">
        <x:f>IF(COUNT(L63:P63)&lt;5,"",ROUND((L63*25+M63*20+N63*20+O63*20+P63*15)/5,1))</x:f>
      </x:c>
      <x:c r="R63" s="18" t="str"/>
      <x:c r="S63" s="18" t="str"/>
      <x:c r="T63" s="17" t="str"/>
      <x:c r="U63" s="19"/>
    </x:row>
    <x:row r="64">
      <x:c r="A64" s="17" t="str">
        <x:v>MTS-0063</x:v>
      </x:c>
      <x:c r="B64" s="17" t="str">
        <x:v>Road Trip Fuel Planner</x:v>
      </x:c>
      <x:c r="C64" s="17" t="str">
        <x:v>Vehicle and RV</x:v>
      </x:c>
      <x:c r="D64" s="17" t="str">
        <x:v>Mobile App</x:v>
      </x:c>
      <x:c r="E64" s="17" t="str">
        <x:v>Drivers and RV owners</x:v>
      </x:c>
      <x:c r="F64" s="18" t="str">
        <x:v>Road Trip Fuel Planner provides a focused vehicle and rv workflow for drivers and rv owners.</x:v>
      </x:c>
      <x:c r="G64" s="18" t="str">
        <x:v>Estimator, Maintenance, Sensors, Reports</x:v>
      </x:c>
      <x:c r="H64" s="17" t="str">
        <x:v>Ads + Pro</x:v>
      </x:c>
      <x:c r="I64" s="17" t="str">
        <x:v>Small</x:v>
      </x:c>
      <x:c r="J64" s="17" t="str">
        <x:v>New candidate</x:v>
      </x:c>
      <x:c r="K64" s="17" t="str">
        <x:v>Unreviewed</x:v>
      </x:c>
      <x:c r="L64" s="17"/>
      <x:c r="M64" s="17"/>
      <x:c r="N64" s="17"/>
      <x:c r="O64" s="17"/>
      <x:c r="P64" s="17"/>
      <x:c r="Q64" s="17" t="str">
        <x:f>IF(COUNT(L64:P64)&lt;5,"",ROUND((L64*25+M64*20+N64*20+O64*20+P64*15)/5,1))</x:f>
      </x:c>
      <x:c r="R64" s="18" t="str"/>
      <x:c r="S64" s="18" t="str"/>
      <x:c r="T64" s="17" t="str"/>
      <x:c r="U64" s="19"/>
    </x:row>
    <x:row r="65">
      <x:c r="A65" s="17" t="str">
        <x:v>MTS-0064</x:v>
      </x:c>
      <x:c r="B65" s="17" t="str">
        <x:v>Vehicle Maintenance Log</x:v>
      </x:c>
      <x:c r="C65" s="17" t="str">
        <x:v>Vehicle and RV</x:v>
      </x:c>
      <x:c r="D65" s="17" t="str">
        <x:v>Mobile App</x:v>
      </x:c>
      <x:c r="E65" s="17" t="str">
        <x:v>Drivers and RV owners</x:v>
      </x:c>
      <x:c r="F65" s="18" t="str">
        <x:v>Vehicle Maintenance Log provides a focused vehicle and rv workflow for drivers and rv owners.</x:v>
      </x:c>
      <x:c r="G65" s="18" t="str">
        <x:v>Estimator, Maintenance, Sensors, Reports</x:v>
      </x:c>
      <x:c r="H65" s="17" t="str">
        <x:v>Ads + Pro</x:v>
      </x:c>
      <x:c r="I65" s="17" t="str">
        <x:v>Small</x:v>
      </x:c>
      <x:c r="J65" s="17" t="str">
        <x:v>New candidate</x:v>
      </x:c>
      <x:c r="K65" s="17" t="str">
        <x:v>Unreviewed</x:v>
      </x:c>
      <x:c r="L65" s="17"/>
      <x:c r="M65" s="17"/>
      <x:c r="N65" s="17"/>
      <x:c r="O65" s="17"/>
      <x:c r="P65" s="17"/>
      <x:c r="Q65" s="17" t="str">
        <x:f>IF(COUNT(L65:P65)&lt;5,"",ROUND((L65*25+M65*20+N65*20+O65*20+P65*15)/5,1))</x:f>
      </x:c>
      <x:c r="R65" s="18" t="str"/>
      <x:c r="S65" s="18" t="str"/>
      <x:c r="T65" s="17" t="str"/>
      <x:c r="U65" s="19"/>
    </x:row>
    <x:row r="66">
      <x:c r="A66" s="17" t="str">
        <x:v>MTS-0065</x:v>
      </x:c>
      <x:c r="B66" s="17" t="str">
        <x:v>Tire Rotation Tracker</x:v>
      </x:c>
      <x:c r="C66" s="17" t="str">
        <x:v>Vehicle and RV</x:v>
      </x:c>
      <x:c r="D66" s="17" t="str">
        <x:v>Mobile App</x:v>
      </x:c>
      <x:c r="E66" s="17" t="str">
        <x:v>Drivers and RV owners</x:v>
      </x:c>
      <x:c r="F66" s="18" t="str">
        <x:v>Tire Rotation Tracker provides a focused vehicle and rv workflow for drivers and rv owners.</x:v>
      </x:c>
      <x:c r="G66" s="18" t="str">
        <x:v>Estimator, Maintenance, Sensors, Reports</x:v>
      </x:c>
      <x:c r="H66" s="17" t="str">
        <x:v>Ads + Pro</x:v>
      </x:c>
      <x:c r="I66" s="17" t="str">
        <x:v>Small</x:v>
      </x:c>
      <x:c r="J66" s="17" t="str">
        <x:v>New candidate</x:v>
      </x:c>
      <x:c r="K66" s="17" t="str">
        <x:v>Unreviewed</x:v>
      </x:c>
      <x:c r="L66" s="17"/>
      <x:c r="M66" s="17"/>
      <x:c r="N66" s="17"/>
      <x:c r="O66" s="17"/>
      <x:c r="P66" s="17"/>
      <x:c r="Q66" s="17" t="str">
        <x:f>IF(COUNT(L66:P66)&lt;5,"",ROUND((L66*25+M66*20+N66*20+O66*20+P66*15)/5,1))</x:f>
      </x:c>
      <x:c r="R66" s="18" t="str"/>
      <x:c r="S66" s="18" t="str"/>
      <x:c r="T66" s="17" t="str"/>
      <x:c r="U66" s="19"/>
    </x:row>
    <x:row r="67">
      <x:c r="A67" s="17" t="str">
        <x:v>MTS-0066</x:v>
      </x:c>
      <x:c r="B67" s="17" t="str">
        <x:v>Trailer Inspection Checklist</x:v>
      </x:c>
      <x:c r="C67" s="17" t="str">
        <x:v>Vehicle and RV</x:v>
      </x:c>
      <x:c r="D67" s="17" t="str">
        <x:v>Mobile App</x:v>
      </x:c>
      <x:c r="E67" s="17" t="str">
        <x:v>Drivers and RV owners</x:v>
      </x:c>
      <x:c r="F67" s="18" t="str">
        <x:v>Trailer Inspection Checklist provides a focused vehicle and rv workflow for drivers and rv owners.</x:v>
      </x:c>
      <x:c r="G67" s="18" t="str">
        <x:v>Estimator, Maintenance, Sensors, Reports</x:v>
      </x:c>
      <x:c r="H67" s="17" t="str">
        <x:v>Ads + Pro</x:v>
      </x:c>
      <x:c r="I67" s="17" t="str">
        <x:v>Small</x:v>
      </x:c>
      <x:c r="J67" s="17" t="str">
        <x:v>New candidate</x:v>
      </x:c>
      <x:c r="K67" s="17" t="str">
        <x:v>Unreviewed</x:v>
      </x:c>
      <x:c r="L67" s="17"/>
      <x:c r="M67" s="17"/>
      <x:c r="N67" s="17"/>
      <x:c r="O67" s="17"/>
      <x:c r="P67" s="17"/>
      <x:c r="Q67" s="17" t="str">
        <x:f>IF(COUNT(L67:P67)&lt;5,"",ROUND((L67*25+M67*20+N67*20+O67*20+P67*15)/5,1))</x:f>
      </x:c>
      <x:c r="R67" s="18" t="str"/>
      <x:c r="S67" s="18" t="str"/>
      <x:c r="T67" s="17" t="str"/>
      <x:c r="U67" s="19"/>
    </x:row>
    <x:row r="68">
      <x:c r="A68" s="17" t="str">
        <x:v>MTS-0067</x:v>
      </x:c>
      <x:c r="B68" s="17" t="str">
        <x:v>Commercial Pre-Trip Checklist</x:v>
      </x:c>
      <x:c r="C68" s="17" t="str">
        <x:v>Vehicle and RV</x:v>
      </x:c>
      <x:c r="D68" s="17" t="str">
        <x:v>Mobile App</x:v>
      </x:c>
      <x:c r="E68" s="17" t="str">
        <x:v>Drivers and RV owners</x:v>
      </x:c>
      <x:c r="F68" s="18" t="str">
        <x:v>Commercial Pre-Trip Checklist provides a focused vehicle and rv workflow for drivers and rv owners.</x:v>
      </x:c>
      <x:c r="G68" s="18" t="str">
        <x:v>Estimator, Maintenance, Sensors, Reports</x:v>
      </x:c>
      <x:c r="H68" s="17" t="str">
        <x:v>Ads + Pro</x:v>
      </x:c>
      <x:c r="I68" s="17" t="str">
        <x:v>Small</x:v>
      </x:c>
      <x:c r="J68" s="17" t="str">
        <x:v>New candidate</x:v>
      </x:c>
      <x:c r="K68" s="17" t="str">
        <x:v>Unreviewed</x:v>
      </x:c>
      <x:c r="L68" s="17"/>
      <x:c r="M68" s="17"/>
      <x:c r="N68" s="17"/>
      <x:c r="O68" s="17"/>
      <x:c r="P68" s="17"/>
      <x:c r="Q68" s="17" t="str">
        <x:f>IF(COUNT(L68:P68)&lt;5,"",ROUND((L68*25+M68*20+N68*20+O68*20+P68*15)/5,1))</x:f>
      </x:c>
      <x:c r="R68" s="18" t="str"/>
      <x:c r="S68" s="18" t="str"/>
      <x:c r="T68" s="17" t="str"/>
      <x:c r="U68" s="19"/>
    </x:row>
    <x:row r="69">
      <x:c r="A69" s="17" t="str">
        <x:v>MTS-0068</x:v>
      </x:c>
      <x:c r="B69" s="17" t="str">
        <x:v>Load Securement Checklist</x:v>
      </x:c>
      <x:c r="C69" s="17" t="str">
        <x:v>Vehicle and RV</x:v>
      </x:c>
      <x:c r="D69" s="17" t="str">
        <x:v>Mobile App</x:v>
      </x:c>
      <x:c r="E69" s="17" t="str">
        <x:v>Drivers and RV owners</x:v>
      </x:c>
      <x:c r="F69" s="18" t="str">
        <x:v>Load Securement Checklist provides a focused vehicle and rv workflow for drivers and rv owners.</x:v>
      </x:c>
      <x:c r="G69" s="18" t="str">
        <x:v>Estimator, Maintenance, Sensors, Reports</x:v>
      </x:c>
      <x:c r="H69" s="17" t="str">
        <x:v>Ads + Pro</x:v>
      </x:c>
      <x:c r="I69" s="17" t="str">
        <x:v>Small</x:v>
      </x:c>
      <x:c r="J69" s="17" t="str">
        <x:v>New candidate</x:v>
      </x:c>
      <x:c r="K69" s="17" t="str">
        <x:v>Unreviewed</x:v>
      </x:c>
      <x:c r="L69" s="17"/>
      <x:c r="M69" s="17"/>
      <x:c r="N69" s="17"/>
      <x:c r="O69" s="17"/>
      <x:c r="P69" s="17"/>
      <x:c r="Q69" s="17" t="str">
        <x:f>IF(COUNT(L69:P69)&lt;5,"",ROUND((L69*25+M69*20+N69*20+O69*20+P69*15)/5,1))</x:f>
      </x:c>
      <x:c r="R69" s="18" t="str"/>
      <x:c r="S69" s="18" t="str"/>
      <x:c r="T69" s="17" t="str"/>
      <x:c r="U69" s="19"/>
    </x:row>
    <x:row r="70">
      <x:c r="A70" s="17" t="str">
        <x:v>MTS-0069</x:v>
      </x:c>
      <x:c r="B70" s="17" t="str">
        <x:v>Vehicle Battery Runtime</x:v>
      </x:c>
      <x:c r="C70" s="17" t="str">
        <x:v>Vehicle and RV</x:v>
      </x:c>
      <x:c r="D70" s="17" t="str">
        <x:v>Mobile App</x:v>
      </x:c>
      <x:c r="E70" s="17" t="str">
        <x:v>Drivers and RV owners</x:v>
      </x:c>
      <x:c r="F70" s="18" t="str">
        <x:v>Vehicle Battery Runtime provides a focused vehicle and rv workflow for drivers and rv owners.</x:v>
      </x:c>
      <x:c r="G70" s="18" t="str">
        <x:v>Estimator, Maintenance, Sensors, Reports</x:v>
      </x:c>
      <x:c r="H70" s="17" t="str">
        <x:v>Ads + Pro</x:v>
      </x:c>
      <x:c r="I70" s="17" t="str">
        <x:v>Small</x:v>
      </x:c>
      <x:c r="J70" s="17" t="str">
        <x:v>New candidate</x:v>
      </x:c>
      <x:c r="K70" s="17" t="str">
        <x:v>Unreviewed</x:v>
      </x:c>
      <x:c r="L70" s="17"/>
      <x:c r="M70" s="17"/>
      <x:c r="N70" s="17"/>
      <x:c r="O70" s="17"/>
      <x:c r="P70" s="17"/>
      <x:c r="Q70" s="17" t="str">
        <x:f>IF(COUNT(L70:P70)&lt;5,"",ROUND((L70*25+M70*20+N70*20+O70*20+P70*15)/5,1))</x:f>
      </x:c>
      <x:c r="R70" s="18" t="str"/>
      <x:c r="S70" s="18" t="str"/>
      <x:c r="T70" s="17" t="str"/>
      <x:c r="U70" s="19"/>
    </x:row>
    <x:row r="71">
      <x:c r="A71" s="17" t="str">
        <x:v>MTS-0070</x:v>
      </x:c>
      <x:c r="B71" s="17" t="str">
        <x:v>EV Charging Cost Planner</x:v>
      </x:c>
      <x:c r="C71" s="17" t="str">
        <x:v>Vehicle and RV</x:v>
      </x:c>
      <x:c r="D71" s="17" t="str">
        <x:v>Mobile App</x:v>
      </x:c>
      <x:c r="E71" s="17" t="str">
        <x:v>Drivers and RV owners</x:v>
      </x:c>
      <x:c r="F71" s="18" t="str">
        <x:v>EV Charging Cost Planner provides a focused vehicle and rv workflow for drivers and rv owners.</x:v>
      </x:c>
      <x:c r="G71" s="18" t="str">
        <x:v>Estimator, Maintenance, Sensors, Reports</x:v>
      </x:c>
      <x:c r="H71" s="17" t="str">
        <x:v>Ads + Pro</x:v>
      </x:c>
      <x:c r="I71" s="17" t="str">
        <x:v>Small</x:v>
      </x:c>
      <x:c r="J71" s="17" t="str">
        <x:v>New candidate</x:v>
      </x:c>
      <x:c r="K71" s="17" t="str">
        <x:v>Unreviewed</x:v>
      </x:c>
      <x:c r="L71" s="17"/>
      <x:c r="M71" s="17"/>
      <x:c r="N71" s="17"/>
      <x:c r="O71" s="17"/>
      <x:c r="P71" s="17"/>
      <x:c r="Q71" s="17" t="str">
        <x:f>IF(COUNT(L71:P71)&lt;5,"",ROUND((L71*25+M71*20+N71*20+O71*20+P71*15)/5,1))</x:f>
      </x:c>
      <x:c r="R71" s="18" t="str"/>
      <x:c r="S71" s="18" t="str"/>
      <x:c r="T71" s="17" t="str"/>
      <x:c r="U71" s="19"/>
    </x:row>
    <x:row r="72">
      <x:c r="A72" s="17" t="str">
        <x:v>MTS-0071</x:v>
      </x:c>
      <x:c r="B72" s="17" t="str">
        <x:v>Used Car Inspection Guide</x:v>
      </x:c>
      <x:c r="C72" s="17" t="str">
        <x:v>Vehicle and RV</x:v>
      </x:c>
      <x:c r="D72" s="17" t="str">
        <x:v>Mobile App</x:v>
      </x:c>
      <x:c r="E72" s="17" t="str">
        <x:v>Drivers and RV owners</x:v>
      </x:c>
      <x:c r="F72" s="18" t="str">
        <x:v>Used Car Inspection Guide provides a focused vehicle and rv workflow for drivers and rv owners.</x:v>
      </x:c>
      <x:c r="G72" s="18" t="str">
        <x:v>Estimator, Maintenance, Sensors, Reports</x:v>
      </x:c>
      <x:c r="H72" s="17" t="str">
        <x:v>Ads + Pro</x:v>
      </x:c>
      <x:c r="I72" s="17" t="str">
        <x:v>Small</x:v>
      </x:c>
      <x:c r="J72" s="17" t="str">
        <x:v>New candidate</x:v>
      </x:c>
      <x:c r="K72" s="17" t="str">
        <x:v>Unreviewed</x:v>
      </x:c>
      <x:c r="L72" s="17"/>
      <x:c r="M72" s="17"/>
      <x:c r="N72" s="17"/>
      <x:c r="O72" s="17"/>
      <x:c r="P72" s="17"/>
      <x:c r="Q72" s="17" t="str">
        <x:f>IF(COUNT(L72:P72)&lt;5,"",ROUND((L72*25+M72*20+N72*20+O72*20+P72*15)/5,1))</x:f>
      </x:c>
      <x:c r="R72" s="18" t="str"/>
      <x:c r="S72" s="18" t="str"/>
      <x:c r="T72" s="17" t="str"/>
      <x:c r="U72" s="19"/>
    </x:row>
    <x:row r="73">
      <x:c r="A73" s="17" t="str">
        <x:v>MTS-0072</x:v>
      </x:c>
      <x:c r="B73" s="17" t="str">
        <x:v>Fleet Fuel Tracker</x:v>
      </x:c>
      <x:c r="C73" s="17" t="str">
        <x:v>Vehicle and RV</x:v>
      </x:c>
      <x:c r="D73" s="17" t="str">
        <x:v>Mobile App</x:v>
      </x:c>
      <x:c r="E73" s="17" t="str">
        <x:v>Drivers and RV owners</x:v>
      </x:c>
      <x:c r="F73" s="18" t="str">
        <x:v>Fleet Fuel Tracker provides a focused vehicle and rv workflow for drivers and rv owners.</x:v>
      </x:c>
      <x:c r="G73" s="18" t="str">
        <x:v>Estimator, Maintenance, Sensors, Reports</x:v>
      </x:c>
      <x:c r="H73" s="17" t="str">
        <x:v>Ads + Pro</x:v>
      </x:c>
      <x:c r="I73" s="17" t="str">
        <x:v>Small</x:v>
      </x:c>
      <x:c r="J73" s="17" t="str">
        <x:v>New candidate</x:v>
      </x:c>
      <x:c r="K73" s="17" t="str">
        <x:v>Unreviewed</x:v>
      </x:c>
      <x:c r="L73" s="17"/>
      <x:c r="M73" s="17"/>
      <x:c r="N73" s="17"/>
      <x:c r="O73" s="17"/>
      <x:c r="P73" s="17"/>
      <x:c r="Q73" s="17" t="str">
        <x:f>IF(COUNT(L73:P73)&lt;5,"",ROUND((L73*25+M73*20+N73*20+O73*20+P73*15)/5,1))</x:f>
      </x:c>
      <x:c r="R73" s="18" t="str"/>
      <x:c r="S73" s="18" t="str"/>
      <x:c r="T73" s="17" t="str"/>
      <x:c r="U73" s="19"/>
    </x:row>
    <x:row r="74">
      <x:c r="A74" s="17" t="str">
        <x:v>MTS-0073</x:v>
      </x:c>
      <x:c r="B74" s="17" t="str">
        <x:v>Home Inventory Offline</x:v>
      </x:c>
      <x:c r="C74" s="17" t="str">
        <x:v>Home Management</x:v>
      </x:c>
      <x:c r="D74" s="17" t="str">
        <x:v>Mobile App</x:v>
      </x:c>
      <x:c r="E74" s="17" t="str">
        <x:v>Homeowners and renters</x:v>
      </x:c>
      <x:c r="F74" s="18" t="str">
        <x:v>Home Inventory Offline provides a focused home management workflow for homeowners and renters.</x:v>
      </x:c>
      <x:c r="G74" s="18" t="str">
        <x:v>Inventory, Reminders, Camera, Export</x:v>
      </x:c>
      <x:c r="H74" s="17" t="str">
        <x:v>Freemium</x:v>
      </x:c>
      <x:c r="I74" s="17" t="str">
        <x:v>Small</x:v>
      </x:c>
      <x:c r="J74" s="17" t="str">
        <x:v>New candidate</x:v>
      </x:c>
      <x:c r="K74" s="17" t="str">
        <x:v>Unreviewed</x:v>
      </x:c>
      <x:c r="L74" s="17"/>
      <x:c r="M74" s="17"/>
      <x:c r="N74" s="17"/>
      <x:c r="O74" s="17"/>
      <x:c r="P74" s="17"/>
      <x:c r="Q74" s="17" t="str">
        <x:f>IF(COUNT(L74:P74)&lt;5,"",ROUND((L74*25+M74*20+N74*20+O74*20+P74*15)/5,1))</x:f>
      </x:c>
      <x:c r="R74" s="18" t="str"/>
      <x:c r="S74" s="18" t="str"/>
      <x:c r="T74" s="17" t="str"/>
      <x:c r="U74" s="19"/>
    </x:row>
    <x:row r="75">
      <x:c r="A75" s="17" t="str">
        <x:v>MTS-0074</x:v>
      </x:c>
      <x:c r="B75" s="17" t="str">
        <x:v>Household Maintenance Tracker</x:v>
      </x:c>
      <x:c r="C75" s="17" t="str">
        <x:v>Home Management</x:v>
      </x:c>
      <x:c r="D75" s="17" t="str">
        <x:v>Mobile App</x:v>
      </x:c>
      <x:c r="E75" s="17" t="str">
        <x:v>Homeowners and renters</x:v>
      </x:c>
      <x:c r="F75" s="18" t="str">
        <x:v>Household Maintenance Tracker provides a focused home management workflow for homeowners and renters.</x:v>
      </x:c>
      <x:c r="G75" s="18" t="str">
        <x:v>Inventory, Reminders, Camera, Export</x:v>
      </x:c>
      <x:c r="H75" s="17" t="str">
        <x:v>Freemium</x:v>
      </x:c>
      <x:c r="I75" s="17" t="str">
        <x:v>Small</x:v>
      </x:c>
      <x:c r="J75" s="17" t="str">
        <x:v>New candidate</x:v>
      </x:c>
      <x:c r="K75" s="17" t="str">
        <x:v>Unreviewed</x:v>
      </x:c>
      <x:c r="L75" s="17"/>
      <x:c r="M75" s="17"/>
      <x:c r="N75" s="17"/>
      <x:c r="O75" s="17"/>
      <x:c r="P75" s="17"/>
      <x:c r="Q75" s="17" t="str">
        <x:f>IF(COUNT(L75:P75)&lt;5,"",ROUND((L75*25+M75*20+N75*20+O75*20+P75*15)/5,1))</x:f>
      </x:c>
      <x:c r="R75" s="18" t="str"/>
      <x:c r="S75" s="18" t="str"/>
      <x:c r="T75" s="17" t="str"/>
      <x:c r="U75" s="19"/>
    </x:row>
    <x:row r="76">
      <x:c r="A76" s="17" t="str">
        <x:v>MTS-0075</x:v>
      </x:c>
      <x:c r="B76" s="17" t="str">
        <x:v>Move-Out Evidence Vault</x:v>
      </x:c>
      <x:c r="C76" s="17" t="str">
        <x:v>Home Management</x:v>
      </x:c>
      <x:c r="D76" s="17" t="str">
        <x:v>Mobile App</x:v>
      </x:c>
      <x:c r="E76" s="17" t="str">
        <x:v>Homeowners and renters</x:v>
      </x:c>
      <x:c r="F76" s="18" t="str">
        <x:v>Move-Out Evidence Vault provides a focused home management workflow for homeowners and renters.</x:v>
      </x:c>
      <x:c r="G76" s="18" t="str">
        <x:v>Inventory, Reminders, Camera, Export</x:v>
      </x:c>
      <x:c r="H76" s="17" t="str">
        <x:v>Freemium</x:v>
      </x:c>
      <x:c r="I76" s="17" t="str">
        <x:v>Small</x:v>
      </x:c>
      <x:c r="J76" s="17" t="str">
        <x:v>New candidate</x:v>
      </x:c>
      <x:c r="K76" s="17" t="str">
        <x:v>Unreviewed</x:v>
      </x:c>
      <x:c r="L76" s="17"/>
      <x:c r="M76" s="17"/>
      <x:c r="N76" s="17"/>
      <x:c r="O76" s="17"/>
      <x:c r="P76" s="17"/>
      <x:c r="Q76" s="17" t="str">
        <x:f>IF(COUNT(L76:P76)&lt;5,"",ROUND((L76*25+M76*20+N76*20+O76*20+P76*15)/5,1))</x:f>
      </x:c>
      <x:c r="R76" s="18" t="str"/>
      <x:c r="S76" s="18" t="str"/>
      <x:c r="T76" s="17" t="str"/>
      <x:c r="U76" s="19"/>
    </x:row>
    <x:row r="77">
      <x:c r="A77" s="17" t="str">
        <x:v>MTS-0076</x:v>
      </x:c>
      <x:c r="B77" s="17" t="str">
        <x:v>Garage Storage Mapper</x:v>
      </x:c>
      <x:c r="C77" s="17" t="str">
        <x:v>Home Management</x:v>
      </x:c>
      <x:c r="D77" s="17" t="str">
        <x:v>Mobile App</x:v>
      </x:c>
      <x:c r="E77" s="17" t="str">
        <x:v>Homeowners and renters</x:v>
      </x:c>
      <x:c r="F77" s="18" t="str">
        <x:v>Garage Storage Mapper provides a focused home management workflow for homeowners and renters.</x:v>
      </x:c>
      <x:c r="G77" s="18" t="str">
        <x:v>Inventory, Reminders, Camera, Export</x:v>
      </x:c>
      <x:c r="H77" s="17" t="str">
        <x:v>Freemium</x:v>
      </x:c>
      <x:c r="I77" s="17" t="str">
        <x:v>Small</x:v>
      </x:c>
      <x:c r="J77" s="17" t="str">
        <x:v>New candidate</x:v>
      </x:c>
      <x:c r="K77" s="17" t="str">
        <x:v>Unreviewed</x:v>
      </x:c>
      <x:c r="L77" s="17"/>
      <x:c r="M77" s="17"/>
      <x:c r="N77" s="17"/>
      <x:c r="O77" s="17"/>
      <x:c r="P77" s="17"/>
      <x:c r="Q77" s="17" t="str">
        <x:f>IF(COUNT(L77:P77)&lt;5,"",ROUND((L77*25+M77*20+N77*20+O77*20+P77*15)/5,1))</x:f>
      </x:c>
      <x:c r="R77" s="18" t="str"/>
      <x:c r="S77" s="18" t="str"/>
      <x:c r="T77" s="17" t="str"/>
      <x:c r="U77" s="19"/>
    </x:row>
    <x:row r="78">
      <x:c r="A78" s="17" t="str">
        <x:v>MTS-0077</x:v>
      </x:c>
      <x:c r="B78" s="17" t="str">
        <x:v>Warranty Tracker</x:v>
      </x:c>
      <x:c r="C78" s="17" t="str">
        <x:v>Home Management</x:v>
      </x:c>
      <x:c r="D78" s="17" t="str">
        <x:v>Mobile App</x:v>
      </x:c>
      <x:c r="E78" s="17" t="str">
        <x:v>Homeowners and renters</x:v>
      </x:c>
      <x:c r="F78" s="18" t="str">
        <x:v>Warranty Tracker provides a focused home management workflow for homeowners and renters.</x:v>
      </x:c>
      <x:c r="G78" s="18" t="str">
        <x:v>Inventory, Reminders, Camera, Export</x:v>
      </x:c>
      <x:c r="H78" s="17" t="str">
        <x:v>Freemium</x:v>
      </x:c>
      <x:c r="I78" s="17" t="str">
        <x:v>Small</x:v>
      </x:c>
      <x:c r="J78" s="17" t="str">
        <x:v>New candidate</x:v>
      </x:c>
      <x:c r="K78" s="17" t="str">
        <x:v>Unreviewed</x:v>
      </x:c>
      <x:c r="L78" s="17"/>
      <x:c r="M78" s="17"/>
      <x:c r="N78" s="17"/>
      <x:c r="O78" s="17"/>
      <x:c r="P78" s="17"/>
      <x:c r="Q78" s="17" t="str">
        <x:f>IF(COUNT(L78:P78)&lt;5,"",ROUND((L78*25+M78*20+N78*20+O78*20+P78*15)/5,1))</x:f>
      </x:c>
      <x:c r="R78" s="18" t="str"/>
      <x:c r="S78" s="18" t="str"/>
      <x:c r="T78" s="17" t="str"/>
      <x:c r="U78" s="19"/>
    </x:row>
    <x:row r="79">
      <x:c r="A79" s="17" t="str">
        <x:v>MTS-0078</x:v>
      </x:c>
      <x:c r="B79" s="17" t="str">
        <x:v>Appliance Record Vault</x:v>
      </x:c>
      <x:c r="C79" s="17" t="str">
        <x:v>Home Management</x:v>
      </x:c>
      <x:c r="D79" s="17" t="str">
        <x:v>Mobile App</x:v>
      </x:c>
      <x:c r="E79" s="17" t="str">
        <x:v>Homeowners and renters</x:v>
      </x:c>
      <x:c r="F79" s="18" t="str">
        <x:v>Appliance Record Vault provides a focused home management workflow for homeowners and renters.</x:v>
      </x:c>
      <x:c r="G79" s="18" t="str">
        <x:v>Inventory, Reminders, Camera, Export</x:v>
      </x:c>
      <x:c r="H79" s="17" t="str">
        <x:v>Freemium</x:v>
      </x:c>
      <x:c r="I79" s="17" t="str">
        <x:v>Small</x:v>
      </x:c>
      <x:c r="J79" s="17" t="str">
        <x:v>New candidate</x:v>
      </x:c>
      <x:c r="K79" s="17" t="str">
        <x:v>Unreviewed</x:v>
      </x:c>
      <x:c r="L79" s="17"/>
      <x:c r="M79" s="17"/>
      <x:c r="N79" s="17"/>
      <x:c r="O79" s="17"/>
      <x:c r="P79" s="17"/>
      <x:c r="Q79" s="17" t="str">
        <x:f>IF(COUNT(L79:P79)&lt;5,"",ROUND((L79*25+M79*20+N79*20+O79*20+P79*15)/5,1))</x:f>
      </x:c>
      <x:c r="R79" s="18" t="str"/>
      <x:c r="S79" s="18" t="str"/>
      <x:c r="T79" s="17" t="str"/>
      <x:c r="U79" s="19"/>
    </x:row>
    <x:row r="80">
      <x:c r="A80" s="17" t="str">
        <x:v>MTS-0079</x:v>
      </x:c>
      <x:c r="B80" s="17" t="str">
        <x:v>Utility Meter Log</x:v>
      </x:c>
      <x:c r="C80" s="17" t="str">
        <x:v>Home Management</x:v>
      </x:c>
      <x:c r="D80" s="17" t="str">
        <x:v>Mobile App</x:v>
      </x:c>
      <x:c r="E80" s="17" t="str">
        <x:v>Homeowners and renters</x:v>
      </x:c>
      <x:c r="F80" s="18" t="str">
        <x:v>Utility Meter Log provides a focused home management workflow for homeowners and renters.</x:v>
      </x:c>
      <x:c r="G80" s="18" t="str">
        <x:v>Inventory, Reminders, Camera, Export</x:v>
      </x:c>
      <x:c r="H80" s="17" t="str">
        <x:v>Freemium</x:v>
      </x:c>
      <x:c r="I80" s="17" t="str">
        <x:v>Small</x:v>
      </x:c>
      <x:c r="J80" s="17" t="str">
        <x:v>New candidate</x:v>
      </x:c>
      <x:c r="K80" s="17" t="str">
        <x:v>Unreviewed</x:v>
      </x:c>
      <x:c r="L80" s="17"/>
      <x:c r="M80" s="17"/>
      <x:c r="N80" s="17"/>
      <x:c r="O80" s="17"/>
      <x:c r="P80" s="17"/>
      <x:c r="Q80" s="17" t="str">
        <x:f>IF(COUNT(L80:P80)&lt;5,"",ROUND((L80*25+M80*20+N80*20+O80*20+P80*15)/5,1))</x:f>
      </x:c>
      <x:c r="R80" s="18" t="str"/>
      <x:c r="S80" s="18" t="str"/>
      <x:c r="T80" s="17" t="str"/>
      <x:c r="U80" s="19"/>
    </x:row>
    <x:row r="81">
      <x:c r="A81" s="17" t="str">
        <x:v>MTS-0080</x:v>
      </x:c>
      <x:c r="B81" s="17" t="str">
        <x:v>Water Tank Manager</x:v>
      </x:c>
      <x:c r="C81" s="17" t="str">
        <x:v>Home Management</x:v>
      </x:c>
      <x:c r="D81" s="17" t="str">
        <x:v>Mobile App</x:v>
      </x:c>
      <x:c r="E81" s="17" t="str">
        <x:v>Homeowners and renters</x:v>
      </x:c>
      <x:c r="F81" s="18" t="str">
        <x:v>Water Tank Manager provides a focused home management workflow for homeowners and renters.</x:v>
      </x:c>
      <x:c r="G81" s="18" t="str">
        <x:v>Inventory, Reminders, Camera, Export</x:v>
      </x:c>
      <x:c r="H81" s="17" t="str">
        <x:v>Freemium</x:v>
      </x:c>
      <x:c r="I81" s="17" t="str">
        <x:v>Small</x:v>
      </x:c>
      <x:c r="J81" s="17" t="str">
        <x:v>New candidate</x:v>
      </x:c>
      <x:c r="K81" s="17" t="str">
        <x:v>Unreviewed</x:v>
      </x:c>
      <x:c r="L81" s="17"/>
      <x:c r="M81" s="17"/>
      <x:c r="N81" s="17"/>
      <x:c r="O81" s="17"/>
      <x:c r="P81" s="17"/>
      <x:c r="Q81" s="17" t="str">
        <x:f>IF(COUNT(L81:P81)&lt;5,"",ROUND((L81*25+M81*20+N81*20+O81*20+P81*15)/5,1))</x:f>
      </x:c>
      <x:c r="R81" s="18" t="str"/>
      <x:c r="S81" s="18" t="str"/>
      <x:c r="T81" s="17" t="str"/>
      <x:c r="U81" s="19"/>
    </x:row>
    <x:row r="82">
      <x:c r="A82" s="17" t="str">
        <x:v>MTS-0081</x:v>
      </x:c>
      <x:c r="B82" s="17" t="str">
        <x:v>Septic Service Tracker</x:v>
      </x:c>
      <x:c r="C82" s="17" t="str">
        <x:v>Home Management</x:v>
      </x:c>
      <x:c r="D82" s="17" t="str">
        <x:v>Mobile App</x:v>
      </x:c>
      <x:c r="E82" s="17" t="str">
        <x:v>Homeowners and renters</x:v>
      </x:c>
      <x:c r="F82" s="18" t="str">
        <x:v>Septic Service Tracker provides a focused home management workflow for homeowners and renters.</x:v>
      </x:c>
      <x:c r="G82" s="18" t="str">
        <x:v>Inventory, Reminders, Camera, Export</x:v>
      </x:c>
      <x:c r="H82" s="17" t="str">
        <x:v>Freemium</x:v>
      </x:c>
      <x:c r="I82" s="17" t="str">
        <x:v>Small</x:v>
      </x:c>
      <x:c r="J82" s="17" t="str">
        <x:v>New candidate</x:v>
      </x:c>
      <x:c r="K82" s="17" t="str">
        <x:v>Unreviewed</x:v>
      </x:c>
      <x:c r="L82" s="17"/>
      <x:c r="M82" s="17"/>
      <x:c r="N82" s="17"/>
      <x:c r="O82" s="17"/>
      <x:c r="P82" s="17"/>
      <x:c r="Q82" s="17" t="str">
        <x:f>IF(COUNT(L82:P82)&lt;5,"",ROUND((L82*25+M82*20+N82*20+O82*20+P82*15)/5,1))</x:f>
      </x:c>
      <x:c r="R82" s="18" t="str"/>
      <x:c r="S82" s="18" t="str"/>
      <x:c r="T82" s="17" t="str"/>
      <x:c r="U82" s="19"/>
    </x:row>
    <x:row r="83">
      <x:c r="A83" s="17" t="str">
        <x:v>MTS-0082</x:v>
      </x:c>
      <x:c r="B83" s="17" t="str">
        <x:v>Home Filter Reminder</x:v>
      </x:c>
      <x:c r="C83" s="17" t="str">
        <x:v>Home Management</x:v>
      </x:c>
      <x:c r="D83" s="17" t="str">
        <x:v>Mobile App</x:v>
      </x:c>
      <x:c r="E83" s="17" t="str">
        <x:v>Homeowners and renters</x:v>
      </x:c>
      <x:c r="F83" s="18" t="str">
        <x:v>Home Filter Reminder provides a focused home management workflow for homeowners and renters.</x:v>
      </x:c>
      <x:c r="G83" s="18" t="str">
        <x:v>Inventory, Reminders, Camera, Export</x:v>
      </x:c>
      <x:c r="H83" s="17" t="str">
        <x:v>Freemium</x:v>
      </x:c>
      <x:c r="I83" s="17" t="str">
        <x:v>Small</x:v>
      </x:c>
      <x:c r="J83" s="17" t="str">
        <x:v>New candidate</x:v>
      </x:c>
      <x:c r="K83" s="17" t="str">
        <x:v>Unreviewed</x:v>
      </x:c>
      <x:c r="L83" s="17"/>
      <x:c r="M83" s="17"/>
      <x:c r="N83" s="17"/>
      <x:c r="O83" s="17"/>
      <x:c r="P83" s="17"/>
      <x:c r="Q83" s="17" t="str">
        <x:f>IF(COUNT(L83:P83)&lt;5,"",ROUND((L83*25+M83*20+N83*20+O83*20+P83*15)/5,1))</x:f>
      </x:c>
      <x:c r="R83" s="18" t="str"/>
      <x:c r="S83" s="18" t="str"/>
      <x:c r="T83" s="17" t="str"/>
      <x:c r="U83" s="19"/>
    </x:row>
    <x:row r="84">
      <x:c r="A84" s="17" t="str">
        <x:v>MTS-0083</x:v>
      </x:c>
      <x:c r="B84" s="17" t="str">
        <x:v>Room Paint Archive</x:v>
      </x:c>
      <x:c r="C84" s="17" t="str">
        <x:v>Home Management</x:v>
      </x:c>
      <x:c r="D84" s="17" t="str">
        <x:v>Mobile App</x:v>
      </x:c>
      <x:c r="E84" s="17" t="str">
        <x:v>Homeowners and renters</x:v>
      </x:c>
      <x:c r="F84" s="18" t="str">
        <x:v>Room Paint Archive provides a focused home management workflow for homeowners and renters.</x:v>
      </x:c>
      <x:c r="G84" s="18" t="str">
        <x:v>Inventory, Reminders, Camera, Export</x:v>
      </x:c>
      <x:c r="H84" s="17" t="str">
        <x:v>Freemium</x:v>
      </x:c>
      <x:c r="I84" s="17" t="str">
        <x:v>Small</x:v>
      </x:c>
      <x:c r="J84" s="17" t="str">
        <x:v>New candidate</x:v>
      </x:c>
      <x:c r="K84" s="17" t="str">
        <x:v>Unreviewed</x:v>
      </x:c>
      <x:c r="L84" s="17"/>
      <x:c r="M84" s="17"/>
      <x:c r="N84" s="17"/>
      <x:c r="O84" s="17"/>
      <x:c r="P84" s="17"/>
      <x:c r="Q84" s="17" t="str">
        <x:f>IF(COUNT(L84:P84)&lt;5,"",ROUND((L84*25+M84*20+N84*20+O84*20+P84*15)/5,1))</x:f>
      </x:c>
      <x:c r="R84" s="18" t="str"/>
      <x:c r="S84" s="18" t="str"/>
      <x:c r="T84" s="17" t="str"/>
      <x:c r="U84" s="19"/>
    </x:row>
    <x:row r="85">
      <x:c r="A85" s="17" t="str">
        <x:v>MTS-0084</x:v>
      </x:c>
      <x:c r="B85" s="17" t="str">
        <x:v>Offline Emergency Binder</x:v>
      </x:c>
      <x:c r="C85" s="17" t="str">
        <x:v>Home Management</x:v>
      </x:c>
      <x:c r="D85" s="17" t="str">
        <x:v>Mobile App</x:v>
      </x:c>
      <x:c r="E85" s="17" t="str">
        <x:v>Homeowners and renters</x:v>
      </x:c>
      <x:c r="F85" s="18" t="str">
        <x:v>Offline Emergency Binder provides a focused home management workflow for homeowners and renters.</x:v>
      </x:c>
      <x:c r="G85" s="18" t="str">
        <x:v>Inventory, Reminders, Camera, Export</x:v>
      </x:c>
      <x:c r="H85" s="17" t="str">
        <x:v>Freemium</x:v>
      </x:c>
      <x:c r="I85" s="17" t="str">
        <x:v>Small</x:v>
      </x:c>
      <x:c r="J85" s="17" t="str">
        <x:v>New candidate</x:v>
      </x:c>
      <x:c r="K85" s="17" t="str">
        <x:v>Unreviewed</x:v>
      </x:c>
      <x:c r="L85" s="17"/>
      <x:c r="M85" s="17"/>
      <x:c r="N85" s="17"/>
      <x:c r="O85" s="17"/>
      <x:c r="P85" s="17"/>
      <x:c r="Q85" s="17" t="str">
        <x:f>IF(COUNT(L85:P85)&lt;5,"",ROUND((L85*25+M85*20+N85*20+O85*20+P85*15)/5,1))</x:f>
      </x:c>
      <x:c r="R85" s="18" t="str"/>
      <x:c r="S85" s="18" t="str"/>
      <x:c r="T85" s="17" t="str"/>
      <x:c r="U85" s="19"/>
    </x:row>
    <x:row r="86">
      <x:c r="A86" s="17" t="str">
        <x:v>MTS-0085</x:v>
      </x:c>
      <x:c r="B86" s="17" t="str">
        <x:v>Horse Arena Planner</x:v>
      </x:c>
      <x:c r="C86" s="17" t="str">
        <x:v>Agriculture and Rural</x:v>
      </x:c>
      <x:c r="D86" s="17" t="str">
        <x:v>Mobile App</x:v>
      </x:c>
      <x:c r="E86" s="17" t="str">
        <x:v>Small farms and rural properties</x:v>
      </x:c>
      <x:c r="F86" s="18" t="str">
        <x:v>Horse Arena Planner provides a focused agriculture and rural workflow for small farms and rural properties.</x:v>
      </x:c>
      <x:c r="G86" s="18" t="str">
        <x:v>Inventory, Inspection, Reminders, Reports</x:v>
      </x:c>
      <x:c r="H86" s="17" t="str">
        <x:v>Paid + Pro</x:v>
      </x:c>
      <x:c r="I86" s="17" t="str">
        <x:v>Medium</x:v>
      </x:c>
      <x:c r="J86" s="17" t="str">
        <x:v>New candidate</x:v>
      </x:c>
      <x:c r="K86" s="17" t="str">
        <x:v>Unreviewed</x:v>
      </x:c>
      <x:c r="L86" s="17"/>
      <x:c r="M86" s="17"/>
      <x:c r="N86" s="17"/>
      <x:c r="O86" s="17"/>
      <x:c r="P86" s="17"/>
      <x:c r="Q86" s="17" t="str">
        <x:f>IF(COUNT(L86:P86)&lt;5,"",ROUND((L86*25+M86*20+N86*20+O86*20+P86*15)/5,1))</x:f>
      </x:c>
      <x:c r="R86" s="18" t="str"/>
      <x:c r="S86" s="18" t="str"/>
      <x:c r="T86" s="17" t="str"/>
      <x:c r="U86" s="19"/>
    </x:row>
    <x:row r="87">
      <x:c r="A87" s="17" t="str">
        <x:v>MTS-0086</x:v>
      </x:c>
      <x:c r="B87" s="17" t="str">
        <x:v>Pasture Rotation Tracker</x:v>
      </x:c>
      <x:c r="C87" s="17" t="str">
        <x:v>Agriculture and Rural</x:v>
      </x:c>
      <x:c r="D87" s="17" t="str">
        <x:v>Mobile App</x:v>
      </x:c>
      <x:c r="E87" s="17" t="str">
        <x:v>Small farms and rural properties</x:v>
      </x:c>
      <x:c r="F87" s="18" t="str">
        <x:v>Pasture Rotation Tracker provides a focused agriculture and rural workflow for small farms and rural properties.</x:v>
      </x:c>
      <x:c r="G87" s="18" t="str">
        <x:v>Inventory, Inspection, Reminders, Reports</x:v>
      </x:c>
      <x:c r="H87" s="17" t="str">
        <x:v>Paid + Pro</x:v>
      </x:c>
      <x:c r="I87" s="17" t="str">
        <x:v>Medium</x:v>
      </x:c>
      <x:c r="J87" s="17" t="str">
        <x:v>New candidate</x:v>
      </x:c>
      <x:c r="K87" s="17" t="str">
        <x:v>Unreviewed</x:v>
      </x:c>
      <x:c r="L87" s="17"/>
      <x:c r="M87" s="17"/>
      <x:c r="N87" s="17"/>
      <x:c r="O87" s="17"/>
      <x:c r="P87" s="17"/>
      <x:c r="Q87" s="17" t="str">
        <x:f>IF(COUNT(L87:P87)&lt;5,"",ROUND((L87*25+M87*20+N87*20+O87*20+P87*15)/5,1))</x:f>
      </x:c>
      <x:c r="R87" s="18" t="str"/>
      <x:c r="S87" s="18" t="str"/>
      <x:c r="T87" s="17" t="str"/>
      <x:c r="U87" s="19"/>
    </x:row>
    <x:row r="88">
      <x:c r="A88" s="17" t="str">
        <x:v>MTS-0087</x:v>
      </x:c>
      <x:c r="B88" s="17" t="str">
        <x:v>Hay Inventory Manager</x:v>
      </x:c>
      <x:c r="C88" s="17" t="str">
        <x:v>Agriculture and Rural</x:v>
      </x:c>
      <x:c r="D88" s="17" t="str">
        <x:v>Mobile App</x:v>
      </x:c>
      <x:c r="E88" s="17" t="str">
        <x:v>Small farms and rural properties</x:v>
      </x:c>
      <x:c r="F88" s="18" t="str">
        <x:v>Hay Inventory Manager provides a focused agriculture and rural workflow for small farms and rural properties.</x:v>
      </x:c>
      <x:c r="G88" s="18" t="str">
        <x:v>Inventory, Inspection, Reminders, Reports</x:v>
      </x:c>
      <x:c r="H88" s="17" t="str">
        <x:v>Paid + Pro</x:v>
      </x:c>
      <x:c r="I88" s="17" t="str">
        <x:v>Medium</x:v>
      </x:c>
      <x:c r="J88" s="17" t="str">
        <x:v>New candidate</x:v>
      </x:c>
      <x:c r="K88" s="17" t="str">
        <x:v>Unreviewed</x:v>
      </x:c>
      <x:c r="L88" s="17"/>
      <x:c r="M88" s="17"/>
      <x:c r="N88" s="17"/>
      <x:c r="O88" s="17"/>
      <x:c r="P88" s="17"/>
      <x:c r="Q88" s="17" t="str">
        <x:f>IF(COUNT(L88:P88)&lt;5,"",ROUND((L88*25+M88*20+N88*20+O88*20+P88*15)/5,1))</x:f>
      </x:c>
      <x:c r="R88" s="18" t="str"/>
      <x:c r="S88" s="18" t="str"/>
      <x:c r="T88" s="17" t="str"/>
      <x:c r="U88" s="19"/>
    </x:row>
    <x:row r="89">
      <x:c r="A89" s="17" t="str">
        <x:v>MTS-0088</x:v>
      </x:c>
      <x:c r="B89" s="17" t="str">
        <x:v>Livestock Water Log</x:v>
      </x:c>
      <x:c r="C89" s="17" t="str">
        <x:v>Agriculture and Rural</x:v>
      </x:c>
      <x:c r="D89" s="17" t="str">
        <x:v>Mobile App</x:v>
      </x:c>
      <x:c r="E89" s="17" t="str">
        <x:v>Small farms and rural properties</x:v>
      </x:c>
      <x:c r="F89" s="18" t="str">
        <x:v>Livestock Water Log provides a focused agriculture and rural workflow for small farms and rural properties.</x:v>
      </x:c>
      <x:c r="G89" s="18" t="str">
        <x:v>Inventory, Inspection, Reminders, Reports</x:v>
      </x:c>
      <x:c r="H89" s="17" t="str">
        <x:v>Paid + Pro</x:v>
      </x:c>
      <x:c r="I89" s="17" t="str">
        <x:v>Medium</x:v>
      </x:c>
      <x:c r="J89" s="17" t="str">
        <x:v>New candidate</x:v>
      </x:c>
      <x:c r="K89" s="17" t="str">
        <x:v>Unreviewed</x:v>
      </x:c>
      <x:c r="L89" s="17"/>
      <x:c r="M89" s="17"/>
      <x:c r="N89" s="17"/>
      <x:c r="O89" s="17"/>
      <x:c r="P89" s="17"/>
      <x:c r="Q89" s="17" t="str">
        <x:f>IF(COUNT(L89:P89)&lt;5,"",ROUND((L89*25+M89*20+N89*20+O89*20+P89*15)/5,1))</x:f>
      </x:c>
      <x:c r="R89" s="18" t="str"/>
      <x:c r="S89" s="18" t="str"/>
      <x:c r="T89" s="17" t="str"/>
      <x:c r="U89" s="19"/>
    </x:row>
    <x:row r="90">
      <x:c r="A90" s="17" t="str">
        <x:v>MTS-0089</x:v>
      </x:c>
      <x:c r="B90" s="17" t="str">
        <x:v>Rural Fence Inspection</x:v>
      </x:c>
      <x:c r="C90" s="17" t="str">
        <x:v>Agriculture and Rural</x:v>
      </x:c>
      <x:c r="D90" s="17" t="str">
        <x:v>Mobile App</x:v>
      </x:c>
      <x:c r="E90" s="17" t="str">
        <x:v>Small farms and rural properties</x:v>
      </x:c>
      <x:c r="F90" s="18" t="str">
        <x:v>Rural Fence Inspection provides a focused agriculture and rural workflow for small farms and rural properties.</x:v>
      </x:c>
      <x:c r="G90" s="18" t="str">
        <x:v>Inventory, Inspection, Reminders, Reports</x:v>
      </x:c>
      <x:c r="H90" s="17" t="str">
        <x:v>Paid + Pro</x:v>
      </x:c>
      <x:c r="I90" s="17" t="str">
        <x:v>Medium</x:v>
      </x:c>
      <x:c r="J90" s="17" t="str">
        <x:v>New candidate</x:v>
      </x:c>
      <x:c r="K90" s="17" t="str">
        <x:v>Unreviewed</x:v>
      </x:c>
      <x:c r="L90" s="17"/>
      <x:c r="M90" s="17"/>
      <x:c r="N90" s="17"/>
      <x:c r="O90" s="17"/>
      <x:c r="P90" s="17"/>
      <x:c r="Q90" s="17" t="str">
        <x:f>IF(COUNT(L90:P90)&lt;5,"",ROUND((L90*25+M90*20+N90*20+O90*20+P90*15)/5,1))</x:f>
      </x:c>
      <x:c r="R90" s="18" t="str"/>
      <x:c r="S90" s="18" t="str"/>
      <x:c r="T90" s="17" t="str"/>
      <x:c r="U90" s="19"/>
    </x:row>
    <x:row r="91">
      <x:c r="A91" s="17" t="str">
        <x:v>MTS-0090</x:v>
      </x:c>
      <x:c r="B91" s="17" t="str">
        <x:v>Barn Maintenance Tracker</x:v>
      </x:c>
      <x:c r="C91" s="17" t="str">
        <x:v>Agriculture and Rural</x:v>
      </x:c>
      <x:c r="D91" s="17" t="str">
        <x:v>Mobile App</x:v>
      </x:c>
      <x:c r="E91" s="17" t="str">
        <x:v>Small farms and rural properties</x:v>
      </x:c>
      <x:c r="F91" s="18" t="str">
        <x:v>Barn Maintenance Tracker provides a focused agriculture and rural workflow for small farms and rural properties.</x:v>
      </x:c>
      <x:c r="G91" s="18" t="str">
        <x:v>Inventory, Inspection, Reminders, Reports</x:v>
      </x:c>
      <x:c r="H91" s="17" t="str">
        <x:v>Paid + Pro</x:v>
      </x:c>
      <x:c r="I91" s="17" t="str">
        <x:v>Medium</x:v>
      </x:c>
      <x:c r="J91" s="17" t="str">
        <x:v>New candidate</x:v>
      </x:c>
      <x:c r="K91" s="17" t="str">
        <x:v>Unreviewed</x:v>
      </x:c>
      <x:c r="L91" s="17"/>
      <x:c r="M91" s="17"/>
      <x:c r="N91" s="17"/>
      <x:c r="O91" s="17"/>
      <x:c r="P91" s="17"/>
      <x:c r="Q91" s="17" t="str">
        <x:f>IF(COUNT(L91:P91)&lt;5,"",ROUND((L91*25+M91*20+N91*20+O91*20+P91*15)/5,1))</x:f>
      </x:c>
      <x:c r="R91" s="18" t="str"/>
      <x:c r="S91" s="18" t="str"/>
      <x:c r="T91" s="17" t="str"/>
      <x:c r="U91" s="19"/>
    </x:row>
    <x:row r="92">
      <x:c r="A92" s="17" t="str">
        <x:v>MTS-0091</x:v>
      </x:c>
      <x:c r="B92" s="17" t="str">
        <x:v>Feed Cost Calculator</x:v>
      </x:c>
      <x:c r="C92" s="17" t="str">
        <x:v>Agriculture and Rural</x:v>
      </x:c>
      <x:c r="D92" s="17" t="str">
        <x:v>Mobile App</x:v>
      </x:c>
      <x:c r="E92" s="17" t="str">
        <x:v>Small farms and rural properties</x:v>
      </x:c>
      <x:c r="F92" s="18" t="str">
        <x:v>Feed Cost Calculator provides a focused agriculture and rural workflow for small farms and rural properties.</x:v>
      </x:c>
      <x:c r="G92" s="18" t="str">
        <x:v>Inventory, Inspection, Reminders, Reports</x:v>
      </x:c>
      <x:c r="H92" s="17" t="str">
        <x:v>Paid + Pro</x:v>
      </x:c>
      <x:c r="I92" s="17" t="str">
        <x:v>Medium</x:v>
      </x:c>
      <x:c r="J92" s="17" t="str">
        <x:v>New candidate</x:v>
      </x:c>
      <x:c r="K92" s="17" t="str">
        <x:v>Unreviewed</x:v>
      </x:c>
      <x:c r="L92" s="17"/>
      <x:c r="M92" s="17"/>
      <x:c r="N92" s="17"/>
      <x:c r="O92" s="17"/>
      <x:c r="P92" s="17"/>
      <x:c r="Q92" s="17" t="str">
        <x:f>IF(COUNT(L92:P92)&lt;5,"",ROUND((L92*25+M92*20+N92*20+O92*20+P92*15)/5,1))</x:f>
      </x:c>
      <x:c r="R92" s="18" t="str"/>
      <x:c r="S92" s="18" t="str"/>
      <x:c r="T92" s="17" t="str"/>
      <x:c r="U92" s="19"/>
    </x:row>
    <x:row r="93">
      <x:c r="A93" s="17" t="str">
        <x:v>MTS-0092</x:v>
      </x:c>
      <x:c r="B93" s="17" t="str">
        <x:v>Tractor Maintenance Log</x:v>
      </x:c>
      <x:c r="C93" s="17" t="str">
        <x:v>Agriculture and Rural</x:v>
      </x:c>
      <x:c r="D93" s="17" t="str">
        <x:v>Mobile App</x:v>
      </x:c>
      <x:c r="E93" s="17" t="str">
        <x:v>Small farms and rural properties</x:v>
      </x:c>
      <x:c r="F93" s="18" t="str">
        <x:v>Tractor Maintenance Log provides a focused agriculture and rural workflow for small farms and rural properties.</x:v>
      </x:c>
      <x:c r="G93" s="18" t="str">
        <x:v>Inventory, Inspection, Reminders, Reports</x:v>
      </x:c>
      <x:c r="H93" s="17" t="str">
        <x:v>Paid + Pro</x:v>
      </x:c>
      <x:c r="I93" s="17" t="str">
        <x:v>Medium</x:v>
      </x:c>
      <x:c r="J93" s="17" t="str">
        <x:v>New candidate</x:v>
      </x:c>
      <x:c r="K93" s="17" t="str">
        <x:v>Unreviewed</x:v>
      </x:c>
      <x:c r="L93" s="17"/>
      <x:c r="M93" s="17"/>
      <x:c r="N93" s="17"/>
      <x:c r="O93" s="17"/>
      <x:c r="P93" s="17"/>
      <x:c r="Q93" s="17" t="str">
        <x:f>IF(COUNT(L93:P93)&lt;5,"",ROUND((L93*25+M93*20+N93*20+O93*20+P93*15)/5,1))</x:f>
      </x:c>
      <x:c r="R93" s="18" t="str"/>
      <x:c r="S93" s="18" t="str"/>
      <x:c r="T93" s="17" t="str"/>
      <x:c r="U93" s="19"/>
    </x:row>
    <x:row r="94">
      <x:c r="A94" s="17" t="str">
        <x:v>MTS-0093</x:v>
      </x:c>
      <x:c r="B94" s="17" t="str">
        <x:v>Egg Production Tracker</x:v>
      </x:c>
      <x:c r="C94" s="17" t="str">
        <x:v>Agriculture and Rural</x:v>
      </x:c>
      <x:c r="D94" s="17" t="str">
        <x:v>Mobile App</x:v>
      </x:c>
      <x:c r="E94" s="17" t="str">
        <x:v>Small farms and rural properties</x:v>
      </x:c>
      <x:c r="F94" s="18" t="str">
        <x:v>Egg Production Tracker provides a focused agriculture and rural workflow for small farms and rural properties.</x:v>
      </x:c>
      <x:c r="G94" s="18" t="str">
        <x:v>Inventory, Inspection, Reminders, Reports</x:v>
      </x:c>
      <x:c r="H94" s="17" t="str">
        <x:v>Paid + Pro</x:v>
      </x:c>
      <x:c r="I94" s="17" t="str">
        <x:v>Medium</x:v>
      </x:c>
      <x:c r="J94" s="17" t="str">
        <x:v>New candidate</x:v>
      </x:c>
      <x:c r="K94" s="17" t="str">
        <x:v>Unreviewed</x:v>
      </x:c>
      <x:c r="L94" s="17"/>
      <x:c r="M94" s="17"/>
      <x:c r="N94" s="17"/>
      <x:c r="O94" s="17"/>
      <x:c r="P94" s="17"/>
      <x:c r="Q94" s="17" t="str">
        <x:f>IF(COUNT(L94:P94)&lt;5,"",ROUND((L94*25+M94*20+N94*20+O94*20+P94*15)/5,1))</x:f>
      </x:c>
      <x:c r="R94" s="18" t="str"/>
      <x:c r="S94" s="18" t="str"/>
      <x:c r="T94" s="17" t="str"/>
      <x:c r="U94" s="19"/>
    </x:row>
    <x:row r="95">
      <x:c r="A95" s="17" t="str">
        <x:v>MTS-0094</x:v>
      </x:c>
      <x:c r="B95" s="17" t="str">
        <x:v>Irrigation Schedule Log</x:v>
      </x:c>
      <x:c r="C95" s="17" t="str">
        <x:v>Agriculture and Rural</x:v>
      </x:c>
      <x:c r="D95" s="17" t="str">
        <x:v>Mobile App</x:v>
      </x:c>
      <x:c r="E95" s="17" t="str">
        <x:v>Small farms and rural properties</x:v>
      </x:c>
      <x:c r="F95" s="18" t="str">
        <x:v>Irrigation Schedule Log provides a focused agriculture and rural workflow for small farms and rural properties.</x:v>
      </x:c>
      <x:c r="G95" s="18" t="str">
        <x:v>Inventory, Inspection, Reminders, Reports</x:v>
      </x:c>
      <x:c r="H95" s="17" t="str">
        <x:v>Paid + Pro</x:v>
      </x:c>
      <x:c r="I95" s="17" t="str">
        <x:v>Medium</x:v>
      </x:c>
      <x:c r="J95" s="17" t="str">
        <x:v>New candidate</x:v>
      </x:c>
      <x:c r="K95" s="17" t="str">
        <x:v>Unreviewed</x:v>
      </x:c>
      <x:c r="L95" s="17"/>
      <x:c r="M95" s="17"/>
      <x:c r="N95" s="17"/>
      <x:c r="O95" s="17"/>
      <x:c r="P95" s="17"/>
      <x:c r="Q95" s="17" t="str">
        <x:f>IF(COUNT(L95:P95)&lt;5,"",ROUND((L95*25+M95*20+N95*20+O95*20+P95*15)/5,1))</x:f>
      </x:c>
      <x:c r="R95" s="18" t="str"/>
      <x:c r="S95" s="18" t="str"/>
      <x:c r="T95" s="17" t="str"/>
      <x:c r="U95" s="19"/>
    </x:row>
    <x:row r="96">
      <x:c r="A96" s="17" t="str">
        <x:v>MTS-0095</x:v>
      </x:c>
      <x:c r="B96" s="17" t="str">
        <x:v>Orchard Harvest Tracker</x:v>
      </x:c>
      <x:c r="C96" s="17" t="str">
        <x:v>Agriculture and Rural</x:v>
      </x:c>
      <x:c r="D96" s="17" t="str">
        <x:v>Mobile App</x:v>
      </x:c>
      <x:c r="E96" s="17" t="str">
        <x:v>Small farms and rural properties</x:v>
      </x:c>
      <x:c r="F96" s="18" t="str">
        <x:v>Orchard Harvest Tracker provides a focused agriculture and rural workflow for small farms and rural properties.</x:v>
      </x:c>
      <x:c r="G96" s="18" t="str">
        <x:v>Inventory, Inspection, Reminders, Reports</x:v>
      </x:c>
      <x:c r="H96" s="17" t="str">
        <x:v>Paid + Pro</x:v>
      </x:c>
      <x:c r="I96" s="17" t="str">
        <x:v>Medium</x:v>
      </x:c>
      <x:c r="J96" s="17" t="str">
        <x:v>New candidate</x:v>
      </x:c>
      <x:c r="K96" s="17" t="str">
        <x:v>Unreviewed</x:v>
      </x:c>
      <x:c r="L96" s="17"/>
      <x:c r="M96" s="17"/>
      <x:c r="N96" s="17"/>
      <x:c r="O96" s="17"/>
      <x:c r="P96" s="17"/>
      <x:c r="Q96" s="17" t="str">
        <x:f>IF(COUNT(L96:P96)&lt;5,"",ROUND((L96*25+M96*20+N96*20+O96*20+P96*15)/5,1))</x:f>
      </x:c>
      <x:c r="R96" s="18" t="str"/>
      <x:c r="S96" s="18" t="str"/>
      <x:c r="T96" s="17" t="str"/>
      <x:c r="U96" s="19"/>
    </x:row>
    <x:row r="97">
      <x:c r="A97" s="17" t="str">
        <x:v>MTS-0096</x:v>
      </x:c>
      <x:c r="B97" s="17" t="str">
        <x:v>Beehive Inspection Log</x:v>
      </x:c>
      <x:c r="C97" s="17" t="str">
        <x:v>Agriculture and Rural</x:v>
      </x:c>
      <x:c r="D97" s="17" t="str">
        <x:v>Mobile App</x:v>
      </x:c>
      <x:c r="E97" s="17" t="str">
        <x:v>Small farms and rural properties</x:v>
      </x:c>
      <x:c r="F97" s="18" t="str">
        <x:v>Beehive Inspection Log provides a focused agriculture and rural workflow for small farms and rural properties.</x:v>
      </x:c>
      <x:c r="G97" s="18" t="str">
        <x:v>Inventory, Inspection, Reminders, Reports</x:v>
      </x:c>
      <x:c r="H97" s="17" t="str">
        <x:v>Paid + Pro</x:v>
      </x:c>
      <x:c r="I97" s="17" t="str">
        <x:v>Medium</x:v>
      </x:c>
      <x:c r="J97" s="17" t="str">
        <x:v>New candidate</x:v>
      </x:c>
      <x:c r="K97" s="17" t="str">
        <x:v>Unreviewed</x:v>
      </x:c>
      <x:c r="L97" s="17"/>
      <x:c r="M97" s="17"/>
      <x:c r="N97" s="17"/>
      <x:c r="O97" s="17"/>
      <x:c r="P97" s="17"/>
      <x:c r="Q97" s="17" t="str">
        <x:f>IF(COUNT(L97:P97)&lt;5,"",ROUND((L97*25+M97*20+N97*20+O97*20+P97*15)/5,1))</x:f>
      </x:c>
      <x:c r="R97" s="18" t="str"/>
      <x:c r="S97" s="18" t="str"/>
      <x:c r="T97" s="17" t="str"/>
      <x:c r="U97" s="19"/>
    </x:row>
    <x:row r="98">
      <x:c r="A98" s="17" t="str">
        <x:v>MTS-0097</x:v>
      </x:c>
      <x:c r="B98" s="17" t="str">
        <x:v>Truck Parking Yard Manager</x:v>
      </x:c>
      <x:c r="C98" s="17" t="str">
        <x:v>Fleet and Logistics</x:v>
      </x:c>
      <x:c r="D98" s="17" t="str">
        <x:v>Mobile + SaaS</x:v>
      </x:c>
      <x:c r="E98" s="17" t="str">
        <x:v>Fleet and yard operators</x:v>
      </x:c>
      <x:c r="F98" s="18" t="str">
        <x:v>Truck Parking Yard Manager provides a focused fleet and logistics workflow for fleet and yard operators.</x:v>
      </x:c>
      <x:c r="G98" s="18" t="str">
        <x:v>Assets, Checklists, Camera, Reports</x:v>
      </x:c>
      <x:c r="H98" s="17" t="str">
        <x:v>Subscription</x:v>
      </x:c>
      <x:c r="I98" s="17" t="str">
        <x:v>Medium</x:v>
      </x:c>
      <x:c r="J98" s="17" t="str">
        <x:v>New candidate</x:v>
      </x:c>
      <x:c r="K98" s="17" t="str">
        <x:v>Unreviewed</x:v>
      </x:c>
      <x:c r="L98" s="17"/>
      <x:c r="M98" s="17"/>
      <x:c r="N98" s="17"/>
      <x:c r="O98" s="17"/>
      <x:c r="P98" s="17"/>
      <x:c r="Q98" s="17" t="str">
        <x:f>IF(COUNT(L98:P98)&lt;5,"",ROUND((L98*25+M98*20+N98*20+O98*20+P98*15)/5,1))</x:f>
      </x:c>
      <x:c r="R98" s="18" t="str"/>
      <x:c r="S98" s="18" t="str"/>
      <x:c r="T98" s="17" t="str"/>
      <x:c r="U98" s="19"/>
    </x:row>
    <x:row r="99">
      <x:c r="A99" s="17" t="str">
        <x:v>MTS-0098</x:v>
      </x:c>
      <x:c r="B99" s="17" t="str">
        <x:v>Parking Occupancy Tracker</x:v>
      </x:c>
      <x:c r="C99" s="17" t="str">
        <x:v>Fleet and Logistics</x:v>
      </x:c>
      <x:c r="D99" s="17" t="str">
        <x:v>Mobile + SaaS</x:v>
      </x:c>
      <x:c r="E99" s="17" t="str">
        <x:v>Fleet and yard operators</x:v>
      </x:c>
      <x:c r="F99" s="18" t="str">
        <x:v>Parking Occupancy Tracker provides a focused fleet and logistics workflow for fleet and yard operators.</x:v>
      </x:c>
      <x:c r="G99" s="18" t="str">
        <x:v>Assets, Checklists, Camera, Reports</x:v>
      </x:c>
      <x:c r="H99" s="17" t="str">
        <x:v>Subscription</x:v>
      </x:c>
      <x:c r="I99" s="17" t="str">
        <x:v>Medium</x:v>
      </x:c>
      <x:c r="J99" s="17" t="str">
        <x:v>New candidate</x:v>
      </x:c>
      <x:c r="K99" s="17" t="str">
        <x:v>Unreviewed</x:v>
      </x:c>
      <x:c r="L99" s="17"/>
      <x:c r="M99" s="17"/>
      <x:c r="N99" s="17"/>
      <x:c r="O99" s="17"/>
      <x:c r="P99" s="17"/>
      <x:c r="Q99" s="17" t="str">
        <x:f>IF(COUNT(L99:P99)&lt;5,"",ROUND((L99*25+M99*20+N99*20+O99*20+P99*15)/5,1))</x:f>
      </x:c>
      <x:c r="R99" s="18" t="str"/>
      <x:c r="S99" s="18" t="str"/>
      <x:c r="T99" s="17" t="str"/>
      <x:c r="U99" s="19"/>
    </x:row>
    <x:row r="100">
      <x:c r="A100" s="17" t="str">
        <x:v>MTS-0099</x:v>
      </x:c>
      <x:c r="B100" s="17" t="str">
        <x:v>Loading Dock Scheduler</x:v>
      </x:c>
      <x:c r="C100" s="17" t="str">
        <x:v>Fleet and Logistics</x:v>
      </x:c>
      <x:c r="D100" s="17" t="str">
        <x:v>Mobile + SaaS</x:v>
      </x:c>
      <x:c r="E100" s="17" t="str">
        <x:v>Fleet and yard operators</x:v>
      </x:c>
      <x:c r="F100" s="18" t="str">
        <x:v>Loading Dock Scheduler provides a focused fleet and logistics workflow for fleet and yard operators.</x:v>
      </x:c>
      <x:c r="G100" s="18" t="str">
        <x:v>Assets, Checklists, Camera, Reports</x:v>
      </x:c>
      <x:c r="H100" s="17" t="str">
        <x:v>Subscription</x:v>
      </x:c>
      <x:c r="I100" s="17" t="str">
        <x:v>Medium</x:v>
      </x:c>
      <x:c r="J100" s="17" t="str">
        <x:v>New candidate</x:v>
      </x:c>
      <x:c r="K100" s="17" t="str">
        <x:v>Unreviewed</x:v>
      </x:c>
      <x:c r="L100" s="17"/>
      <x:c r="M100" s="17"/>
      <x:c r="N100" s="17"/>
      <x:c r="O100" s="17"/>
      <x:c r="P100" s="17"/>
      <x:c r="Q100" s="17" t="str">
        <x:f>IF(COUNT(L100:P100)&lt;5,"",ROUND((L100*25+M100*20+N100*20+O100*20+P100*15)/5,1))</x:f>
      </x:c>
      <x:c r="R100" s="18" t="str"/>
      <x:c r="S100" s="18" t="str"/>
      <x:c r="T100" s="17" t="str"/>
      <x:c r="U100" s="19"/>
    </x:row>
    <x:row r="101">
      <x:c r="A101" s="17" t="str">
        <x:v>MTS-0100</x:v>
      </x:c>
      <x:c r="B101" s="17" t="str">
        <x:v>Delivery Route Proof</x:v>
      </x:c>
      <x:c r="C101" s="17" t="str">
        <x:v>Fleet and Logistics</x:v>
      </x:c>
      <x:c r="D101" s="17" t="str">
        <x:v>Mobile + SaaS</x:v>
      </x:c>
      <x:c r="E101" s="17" t="str">
        <x:v>Fleet and yard operators</x:v>
      </x:c>
      <x:c r="F101" s="18" t="str">
        <x:v>Delivery Route Proof provides a focused fleet and logistics workflow for fleet and yard operators.</x:v>
      </x:c>
      <x:c r="G101" s="18" t="str">
        <x:v>Assets, Checklists, Camera, Reports</x:v>
      </x:c>
      <x:c r="H101" s="17" t="str">
        <x:v>Subscription</x:v>
      </x:c>
      <x:c r="I101" s="17" t="str">
        <x:v>Medium</x:v>
      </x:c>
      <x:c r="J101" s="17" t="str">
        <x:v>New candidate</x:v>
      </x:c>
      <x:c r="K101" s="17" t="str">
        <x:v>Unreviewed</x:v>
      </x:c>
      <x:c r="L101" s="17"/>
      <x:c r="M101" s="17"/>
      <x:c r="N101" s="17"/>
      <x:c r="O101" s="17"/>
      <x:c r="P101" s="17"/>
      <x:c r="Q101" s="17" t="str">
        <x:f>IF(COUNT(L101:P101)&lt;5,"",ROUND((L101*25+M101*20+N101*20+O101*20+P101*15)/5,1))</x:f>
      </x:c>
      <x:c r="R101" s="18" t="str"/>
      <x:c r="S101" s="18" t="str"/>
      <x:c r="T101" s="17" t="str"/>
      <x:c r="U101" s="19"/>
    </x:row>
    <x:row r="102">
      <x:c r="A102" s="17" t="str">
        <x:v>MTS-0101</x:v>
      </x:c>
      <x:c r="B102" s="17" t="str">
        <x:v>Pallet Count Manager</x:v>
      </x:c>
      <x:c r="C102" s="17" t="str">
        <x:v>Fleet and Logistics</x:v>
      </x:c>
      <x:c r="D102" s="17" t="str">
        <x:v>Mobile + SaaS</x:v>
      </x:c>
      <x:c r="E102" s="17" t="str">
        <x:v>Fleet and yard operators</x:v>
      </x:c>
      <x:c r="F102" s="18" t="str">
        <x:v>Pallet Count Manager provides a focused fleet and logistics workflow for fleet and yard operators.</x:v>
      </x:c>
      <x:c r="G102" s="18" t="str">
        <x:v>Assets, Checklists, Camera, Reports</x:v>
      </x:c>
      <x:c r="H102" s="17" t="str">
        <x:v>Subscription</x:v>
      </x:c>
      <x:c r="I102" s="17" t="str">
        <x:v>Medium</x:v>
      </x:c>
      <x:c r="J102" s="17" t="str">
        <x:v>New candidate</x:v>
      </x:c>
      <x:c r="K102" s="17" t="str">
        <x:v>Unreviewed</x:v>
      </x:c>
      <x:c r="L102" s="17"/>
      <x:c r="M102" s="17"/>
      <x:c r="N102" s="17"/>
      <x:c r="O102" s="17"/>
      <x:c r="P102" s="17"/>
      <x:c r="Q102" s="17" t="str">
        <x:f>IF(COUNT(L102:P102)&lt;5,"",ROUND((L102*25+M102*20+N102*20+O102*20+P102*15)/5,1))</x:f>
      </x:c>
      <x:c r="R102" s="18" t="str"/>
      <x:c r="S102" s="18" t="str"/>
      <x:c r="T102" s="17" t="str"/>
      <x:c r="U102" s="19"/>
    </x:row>
    <x:row r="103">
      <x:c r="A103" s="17" t="str">
        <x:v>MTS-0102</x:v>
      </x:c>
      <x:c r="B103" s="17" t="str">
        <x:v>Container Inventory Tracker</x:v>
      </x:c>
      <x:c r="C103" s="17" t="str">
        <x:v>Fleet and Logistics</x:v>
      </x:c>
      <x:c r="D103" s="17" t="str">
        <x:v>Mobile + SaaS</x:v>
      </x:c>
      <x:c r="E103" s="17" t="str">
        <x:v>Fleet and yard operators</x:v>
      </x:c>
      <x:c r="F103" s="18" t="str">
        <x:v>Container Inventory Tracker provides a focused fleet and logistics workflow for fleet and yard operators.</x:v>
      </x:c>
      <x:c r="G103" s="18" t="str">
        <x:v>Assets, Checklists, Camera, Reports</x:v>
      </x:c>
      <x:c r="H103" s="17" t="str">
        <x:v>Subscription</x:v>
      </x:c>
      <x:c r="I103" s="17" t="str">
        <x:v>Medium</x:v>
      </x:c>
      <x:c r="J103" s="17" t="str">
        <x:v>New candidate</x:v>
      </x:c>
      <x:c r="K103" s="17" t="str">
        <x:v>Unreviewed</x:v>
      </x:c>
      <x:c r="L103" s="17"/>
      <x:c r="M103" s="17"/>
      <x:c r="N103" s="17"/>
      <x:c r="O103" s="17"/>
      <x:c r="P103" s="17"/>
      <x:c r="Q103" s="17" t="str">
        <x:f>IF(COUNT(L103:P103)&lt;5,"",ROUND((L103*25+M103*20+N103*20+O103*20+P103*15)/5,1))</x:f>
      </x:c>
      <x:c r="R103" s="18" t="str"/>
      <x:c r="S103" s="18" t="str"/>
      <x:c r="T103" s="17" t="str"/>
      <x:c r="U103" s="19"/>
    </x:row>
    <x:row r="104">
      <x:c r="A104" s="17" t="str">
        <x:v>MTS-0103</x:v>
      </x:c>
      <x:c r="B104" s="17" t="str">
        <x:v>Yard Inspection Reporter</x:v>
      </x:c>
      <x:c r="C104" s="17" t="str">
        <x:v>Fleet and Logistics</x:v>
      </x:c>
      <x:c r="D104" s="17" t="str">
        <x:v>Mobile + SaaS</x:v>
      </x:c>
      <x:c r="E104" s="17" t="str">
        <x:v>Fleet and yard operators</x:v>
      </x:c>
      <x:c r="F104" s="18" t="str">
        <x:v>Yard Inspection Reporter provides a focused fleet and logistics workflow for fleet and yard operators.</x:v>
      </x:c>
      <x:c r="G104" s="18" t="str">
        <x:v>Assets, Checklists, Camera, Reports</x:v>
      </x:c>
      <x:c r="H104" s="17" t="str">
        <x:v>Subscription</x:v>
      </x:c>
      <x:c r="I104" s="17" t="str">
        <x:v>Medium</x:v>
      </x:c>
      <x:c r="J104" s="17" t="str">
        <x:v>New candidate</x:v>
      </x:c>
      <x:c r="K104" s="17" t="str">
        <x:v>Unreviewed</x:v>
      </x:c>
      <x:c r="L104" s="17"/>
      <x:c r="M104" s="17"/>
      <x:c r="N104" s="17"/>
      <x:c r="O104" s="17"/>
      <x:c r="P104" s="17"/>
      <x:c r="Q104" s="17" t="str">
        <x:f>IF(COUNT(L104:P104)&lt;5,"",ROUND((L104*25+M104*20+N104*20+O104*20+P104*15)/5,1))</x:f>
      </x:c>
      <x:c r="R104" s="18" t="str"/>
      <x:c r="S104" s="18" t="str"/>
      <x:c r="T104" s="17" t="str"/>
      <x:c r="U104" s="19"/>
    </x:row>
    <x:row r="105">
      <x:c r="A105" s="17" t="str">
        <x:v>MTS-0104</x:v>
      </x:c>
      <x:c r="B105" s="17" t="str">
        <x:v>Vehicle Gate Log</x:v>
      </x:c>
      <x:c r="C105" s="17" t="str">
        <x:v>Fleet and Logistics</x:v>
      </x:c>
      <x:c r="D105" s="17" t="str">
        <x:v>Mobile + SaaS</x:v>
      </x:c>
      <x:c r="E105" s="17" t="str">
        <x:v>Fleet and yard operators</x:v>
      </x:c>
      <x:c r="F105" s="18" t="str">
        <x:v>Vehicle Gate Log provides a focused fleet and logistics workflow for fleet and yard operators.</x:v>
      </x:c>
      <x:c r="G105" s="18" t="str">
        <x:v>Assets, Checklists, Camera, Reports</x:v>
      </x:c>
      <x:c r="H105" s="17" t="str">
        <x:v>Subscription</x:v>
      </x:c>
      <x:c r="I105" s="17" t="str">
        <x:v>Medium</x:v>
      </x:c>
      <x:c r="J105" s="17" t="str">
        <x:v>New candidate</x:v>
      </x:c>
      <x:c r="K105" s="17" t="str">
        <x:v>Unreviewed</x:v>
      </x:c>
      <x:c r="L105" s="17"/>
      <x:c r="M105" s="17"/>
      <x:c r="N105" s="17"/>
      <x:c r="O105" s="17"/>
      <x:c r="P105" s="17"/>
      <x:c r="Q105" s="17" t="str">
        <x:f>IF(COUNT(L105:P105)&lt;5,"",ROUND((L105*25+M105*20+N105*20+O105*20+P105*15)/5,1))</x:f>
      </x:c>
      <x:c r="R105" s="18" t="str"/>
      <x:c r="S105" s="18" t="str"/>
      <x:c r="T105" s="17" t="str"/>
      <x:c r="U105" s="19"/>
    </x:row>
    <x:row r="106">
      <x:c r="A106" s="17" t="str">
        <x:v>MTS-0105</x:v>
      </x:c>
      <x:c r="B106" s="17" t="str">
        <x:v>Driver Expense Tracker</x:v>
      </x:c>
      <x:c r="C106" s="17" t="str">
        <x:v>Fleet and Logistics</x:v>
      </x:c>
      <x:c r="D106" s="17" t="str">
        <x:v>Mobile + SaaS</x:v>
      </x:c>
      <x:c r="E106" s="17" t="str">
        <x:v>Fleet and yard operators</x:v>
      </x:c>
      <x:c r="F106" s="18" t="str">
        <x:v>Driver Expense Tracker provides a focused fleet and logistics workflow for fleet and yard operators.</x:v>
      </x:c>
      <x:c r="G106" s="18" t="str">
        <x:v>Assets, Checklists, Camera, Reports</x:v>
      </x:c>
      <x:c r="H106" s="17" t="str">
        <x:v>Subscription</x:v>
      </x:c>
      <x:c r="I106" s="17" t="str">
        <x:v>Medium</x:v>
      </x:c>
      <x:c r="J106" s="17" t="str">
        <x:v>New candidate</x:v>
      </x:c>
      <x:c r="K106" s="17" t="str">
        <x:v>Unreviewed</x:v>
      </x:c>
      <x:c r="L106" s="17"/>
      <x:c r="M106" s="17"/>
      <x:c r="N106" s="17"/>
      <x:c r="O106" s="17"/>
      <x:c r="P106" s="17"/>
      <x:c r="Q106" s="17" t="str">
        <x:f>IF(COUNT(L106:P106)&lt;5,"",ROUND((L106*25+M106*20+N106*20+O106*20+P106*15)/5,1))</x:f>
      </x:c>
      <x:c r="R106" s="18" t="str"/>
      <x:c r="S106" s="18" t="str"/>
      <x:c r="T106" s="17" t="str"/>
      <x:c r="U106" s="19"/>
    </x:row>
    <x:row r="107">
      <x:c r="A107" s="17" t="str">
        <x:v>MTS-0106</x:v>
      </x:c>
      <x:c r="B107" s="17" t="str">
        <x:v>Load Photo Documentation</x:v>
      </x:c>
      <x:c r="C107" s="17" t="str">
        <x:v>Fleet and Logistics</x:v>
      </x:c>
      <x:c r="D107" s="17" t="str">
        <x:v>Mobile + SaaS</x:v>
      </x:c>
      <x:c r="E107" s="17" t="str">
        <x:v>Fleet and yard operators</x:v>
      </x:c>
      <x:c r="F107" s="18" t="str">
        <x:v>Load Photo Documentation provides a focused fleet and logistics workflow for fleet and yard operators.</x:v>
      </x:c>
      <x:c r="G107" s="18" t="str">
        <x:v>Assets, Checklists, Camera, Reports</x:v>
      </x:c>
      <x:c r="H107" s="17" t="str">
        <x:v>Subscription</x:v>
      </x:c>
      <x:c r="I107" s="17" t="str">
        <x:v>Medium</x:v>
      </x:c>
      <x:c r="J107" s="17" t="str">
        <x:v>New candidate</x:v>
      </x:c>
      <x:c r="K107" s="17" t="str">
        <x:v>Unreviewed</x:v>
      </x:c>
      <x:c r="L107" s="17"/>
      <x:c r="M107" s="17"/>
      <x:c r="N107" s="17"/>
      <x:c r="O107" s="17"/>
      <x:c r="P107" s="17"/>
      <x:c r="Q107" s="17" t="str">
        <x:f>IF(COUNT(L107:P107)&lt;5,"",ROUND((L107*25+M107*20+N107*20+O107*20+P107*15)/5,1))</x:f>
      </x:c>
      <x:c r="R107" s="18" t="str"/>
      <x:c r="S107" s="18" t="str"/>
      <x:c r="T107" s="17" t="str"/>
      <x:c r="U107" s="19"/>
    </x:row>
    <x:row r="108">
      <x:c r="A108" s="17" t="str">
        <x:v>MTS-0107</x:v>
      </x:c>
      <x:c r="B108" s="17" t="str">
        <x:v>Mileage and IFTA Estimator</x:v>
      </x:c>
      <x:c r="C108" s="17" t="str">
        <x:v>Fleet and Logistics</x:v>
      </x:c>
      <x:c r="D108" s="17" t="str">
        <x:v>Mobile + SaaS</x:v>
      </x:c>
      <x:c r="E108" s="17" t="str">
        <x:v>Fleet and yard operators</x:v>
      </x:c>
      <x:c r="F108" s="18" t="str">
        <x:v>Mileage and IFTA Estimator provides a focused fleet and logistics workflow for fleet and yard operators.</x:v>
      </x:c>
      <x:c r="G108" s="18" t="str">
        <x:v>Assets, Checklists, Camera, Reports</x:v>
      </x:c>
      <x:c r="H108" s="17" t="str">
        <x:v>Subscription</x:v>
      </x:c>
      <x:c r="I108" s="17" t="str">
        <x:v>Medium</x:v>
      </x:c>
      <x:c r="J108" s="17" t="str">
        <x:v>New candidate</x:v>
      </x:c>
      <x:c r="K108" s="17" t="str">
        <x:v>Unreviewed</x:v>
      </x:c>
      <x:c r="L108" s="17"/>
      <x:c r="M108" s="17"/>
      <x:c r="N108" s="17"/>
      <x:c r="O108" s="17"/>
      <x:c r="P108" s="17"/>
      <x:c r="Q108" s="17" t="str">
        <x:f>IF(COUNT(L108:P108)&lt;5,"",ROUND((L108*25+M108*20+N108*20+O108*20+P108*15)/5,1))</x:f>
      </x:c>
      <x:c r="R108" s="18" t="str"/>
      <x:c r="S108" s="18" t="str"/>
      <x:c r="T108" s="17" t="str"/>
      <x:c r="U108" s="19"/>
    </x:row>
    <x:row r="109">
      <x:c r="A109" s="17" t="str">
        <x:v>MTS-0108</x:v>
      </x:c>
      <x:c r="B109" s="17" t="str">
        <x:v>Equipment Checkout Manager</x:v>
      </x:c>
      <x:c r="C109" s="17" t="str">
        <x:v>Fleet and Logistics</x:v>
      </x:c>
      <x:c r="D109" s="17" t="str">
        <x:v>Mobile + SaaS</x:v>
      </x:c>
      <x:c r="E109" s="17" t="str">
        <x:v>Fleet and yard operators</x:v>
      </x:c>
      <x:c r="F109" s="18" t="str">
        <x:v>Equipment Checkout Manager provides a focused fleet and logistics workflow for fleet and yard operators.</x:v>
      </x:c>
      <x:c r="G109" s="18" t="str">
        <x:v>Assets, Checklists, Camera, Reports</x:v>
      </x:c>
      <x:c r="H109" s="17" t="str">
        <x:v>Subscription</x:v>
      </x:c>
      <x:c r="I109" s="17" t="str">
        <x:v>Medium</x:v>
      </x:c>
      <x:c r="J109" s="17" t="str">
        <x:v>New candidate</x:v>
      </x:c>
      <x:c r="K109" s="17" t="str">
        <x:v>Unreviewed</x:v>
      </x:c>
      <x:c r="L109" s="17"/>
      <x:c r="M109" s="17"/>
      <x:c r="N109" s="17"/>
      <x:c r="O109" s="17"/>
      <x:c r="P109" s="17"/>
      <x:c r="Q109" s="17" t="str">
        <x:f>IF(COUNT(L109:P109)&lt;5,"",ROUND((L109*25+M109*20+N109*20+O109*20+P109*15)/5,1))</x:f>
      </x:c>
      <x:c r="R109" s="18" t="str"/>
      <x:c r="S109" s="18" t="str"/>
      <x:c r="T109" s="17" t="str"/>
      <x:c r="U109" s="19"/>
    </x:row>
    <x:row r="110">
      <x:c r="A110" s="17" t="str">
        <x:v>MTS-0109</x:v>
      </x:c>
      <x:c r="B110" s="17" t="str">
        <x:v>eBay Deal Alert Maxxed</x:v>
      </x:c>
      <x:c r="C110" s="17" t="str">
        <x:v>Marketplace and Resale</x:v>
      </x:c>
      <x:c r="D110" s="17" t="str">
        <x:v>Mobile + Web</x:v>
      </x:c>
      <x:c r="E110" s="17" t="str">
        <x:v>Online resellers</x:v>
      </x:c>
      <x:c r="F110" s="18" t="str">
        <x:v>eBay Deal Alert Maxxed provides a focused marketplace and resale workflow for online resellers.</x:v>
      </x:c>
      <x:c r="G110" s="18" t="str">
        <x:v>Marketplace, Alerts, Inventory, Estimator</x:v>
      </x:c>
      <x:c r="H110" s="17" t="str">
        <x:v>Subscription + Pro</x:v>
      </x:c>
      <x:c r="I110" s="17" t="str">
        <x:v>Medium</x:v>
      </x:c>
      <x:c r="J110" s="17" t="str">
        <x:v>Existing discussion/project</x:v>
      </x:c>
      <x:c r="K110" s="17" t="str">
        <x:v>Unreviewed</x:v>
      </x:c>
      <x:c r="L110" s="17"/>
      <x:c r="M110" s="17"/>
      <x:c r="N110" s="17"/>
      <x:c r="O110" s="17"/>
      <x:c r="P110" s="17"/>
      <x:c r="Q110" s="17" t="str">
        <x:f>IF(COUNT(L110:P110)&lt;5,"",ROUND((L110*25+M110*20+N110*20+O110*20+P110*15)/5,1))</x:f>
      </x:c>
      <x:c r="R110" s="18" t="str"/>
      <x:c r="S110" s="18" t="str"/>
      <x:c r="T110" s="17" t="str"/>
      <x:c r="U110" s="19"/>
    </x:row>
    <x:row r="111">
      <x:c r="A111" s="17" t="str">
        <x:v>MTS-0110</x:v>
      </x:c>
      <x:c r="B111" s="17" t="str">
        <x:v>eBay Consignment Portal</x:v>
      </x:c>
      <x:c r="C111" s="17" t="str">
        <x:v>Marketplace and Resale</x:v>
      </x:c>
      <x:c r="D111" s="17" t="str">
        <x:v>Mobile + Web</x:v>
      </x:c>
      <x:c r="E111" s="17" t="str">
        <x:v>Online resellers</x:v>
      </x:c>
      <x:c r="F111" s="18" t="str">
        <x:v>eBay Consignment Portal provides a focused marketplace and resale workflow for online resellers.</x:v>
      </x:c>
      <x:c r="G111" s="18" t="str">
        <x:v>Marketplace, Alerts, Inventory, Estimator</x:v>
      </x:c>
      <x:c r="H111" s="17" t="str">
        <x:v>Subscription + Pro</x:v>
      </x:c>
      <x:c r="I111" s="17" t="str">
        <x:v>Medium</x:v>
      </x:c>
      <x:c r="J111" s="17" t="str">
        <x:v>Existing discussion/project</x:v>
      </x:c>
      <x:c r="K111" s="17" t="str">
        <x:v>Unreviewed</x:v>
      </x:c>
      <x:c r="L111" s="17"/>
      <x:c r="M111" s="17"/>
      <x:c r="N111" s="17"/>
      <x:c r="O111" s="17"/>
      <x:c r="P111" s="17"/>
      <x:c r="Q111" s="17" t="str">
        <x:f>IF(COUNT(L111:P111)&lt;5,"",ROUND((L111*25+M111*20+N111*20+O111*20+P111*15)/5,1))</x:f>
      </x:c>
      <x:c r="R111" s="18" t="str"/>
      <x:c r="S111" s="18" t="str"/>
      <x:c r="T111" s="17" t="str"/>
      <x:c r="U111" s="19"/>
    </x:row>
    <x:row r="112">
      <x:c r="A112" s="17" t="str">
        <x:v>MTS-0111</x:v>
      </x:c>
      <x:c r="B112" s="17" t="str">
        <x:v>Resale Profit Calculator</x:v>
      </x:c>
      <x:c r="C112" s="17" t="str">
        <x:v>Marketplace and Resale</x:v>
      </x:c>
      <x:c r="D112" s="17" t="str">
        <x:v>Mobile + Web</x:v>
      </x:c>
      <x:c r="E112" s="17" t="str">
        <x:v>Online resellers</x:v>
      </x:c>
      <x:c r="F112" s="18" t="str">
        <x:v>Resale Profit Calculator provides a focused marketplace and resale workflow for online resellers.</x:v>
      </x:c>
      <x:c r="G112" s="18" t="str">
        <x:v>Marketplace, Alerts, Inventory, Estimator</x:v>
      </x:c>
      <x:c r="H112" s="17" t="str">
        <x:v>Subscription + Pro</x:v>
      </x:c>
      <x:c r="I112" s="17" t="str">
        <x:v>Medium</x:v>
      </x:c>
      <x:c r="J112" s="17" t="str">
        <x:v>New candidate</x:v>
      </x:c>
      <x:c r="K112" s="17" t="str">
        <x:v>Unreviewed</x:v>
      </x:c>
      <x:c r="L112" s="17"/>
      <x:c r="M112" s="17"/>
      <x:c r="N112" s="17"/>
      <x:c r="O112" s="17"/>
      <x:c r="P112" s="17"/>
      <x:c r="Q112" s="17" t="str">
        <x:f>IF(COUNT(L112:P112)&lt;5,"",ROUND((L112*25+M112*20+N112*20+O112*20+P112*15)/5,1))</x:f>
      </x:c>
      <x:c r="R112" s="18" t="str"/>
      <x:c r="S112" s="18" t="str"/>
      <x:c r="T112" s="17" t="str"/>
      <x:c r="U112" s="19"/>
    </x:row>
    <x:row r="113">
      <x:c r="A113" s="17" t="str">
        <x:v>MTS-0112</x:v>
      </x:c>
      <x:c r="B113" s="17" t="str">
        <x:v>Listing Photo Checklist</x:v>
      </x:c>
      <x:c r="C113" s="17" t="str">
        <x:v>Marketplace and Resale</x:v>
      </x:c>
      <x:c r="D113" s="17" t="str">
        <x:v>Mobile + Web</x:v>
      </x:c>
      <x:c r="E113" s="17" t="str">
        <x:v>Online resellers</x:v>
      </x:c>
      <x:c r="F113" s="18" t="str">
        <x:v>Listing Photo Checklist provides a focused marketplace and resale workflow for online resellers.</x:v>
      </x:c>
      <x:c r="G113" s="18" t="str">
        <x:v>Marketplace, Alerts, Inventory, Estimator</x:v>
      </x:c>
      <x:c r="H113" s="17" t="str">
        <x:v>Subscription + Pro</x:v>
      </x:c>
      <x:c r="I113" s="17" t="str">
        <x:v>Medium</x:v>
      </x:c>
      <x:c r="J113" s="17" t="str">
        <x:v>New candidate</x:v>
      </x:c>
      <x:c r="K113" s="17" t="str">
        <x:v>Unreviewed</x:v>
      </x:c>
      <x:c r="L113" s="17"/>
      <x:c r="M113" s="17"/>
      <x:c r="N113" s="17"/>
      <x:c r="O113" s="17"/>
      <x:c r="P113" s="17"/>
      <x:c r="Q113" s="17" t="str">
        <x:f>IF(COUNT(L113:P113)&lt;5,"",ROUND((L113*25+M113*20+N113*20+O113*20+P113*15)/5,1))</x:f>
      </x:c>
      <x:c r="R113" s="18" t="str"/>
      <x:c r="S113" s="18" t="str"/>
      <x:c r="T113" s="17" t="str"/>
      <x:c r="U113" s="19"/>
    </x:row>
    <x:row r="114">
      <x:c r="A114" s="17" t="str">
        <x:v>MTS-0113</x:v>
      </x:c>
      <x:c r="B114" s="17" t="str">
        <x:v>Shipping Dimension Calculator</x:v>
      </x:c>
      <x:c r="C114" s="17" t="str">
        <x:v>Marketplace and Resale</x:v>
      </x:c>
      <x:c r="D114" s="17" t="str">
        <x:v>Mobile + Web</x:v>
      </x:c>
      <x:c r="E114" s="17" t="str">
        <x:v>Online resellers</x:v>
      </x:c>
      <x:c r="F114" s="18" t="str">
        <x:v>Shipping Dimension Calculator provides a focused marketplace and resale workflow for online resellers.</x:v>
      </x:c>
      <x:c r="G114" s="18" t="str">
        <x:v>Marketplace, Alerts, Inventory, Estimator</x:v>
      </x:c>
      <x:c r="H114" s="17" t="str">
        <x:v>Subscription + Pro</x:v>
      </x:c>
      <x:c r="I114" s="17" t="str">
        <x:v>Medium</x:v>
      </x:c>
      <x:c r="J114" s="17" t="str">
        <x:v>New candidate</x:v>
      </x:c>
      <x:c r="K114" s="17" t="str">
        <x:v>Unreviewed</x:v>
      </x:c>
      <x:c r="L114" s="17"/>
      <x:c r="M114" s="17"/>
      <x:c r="N114" s="17"/>
      <x:c r="O114" s="17"/>
      <x:c r="P114" s="17"/>
      <x:c r="Q114" s="17" t="str">
        <x:f>IF(COUNT(L114:P114)&lt;5,"",ROUND((L114*25+M114*20+N114*20+O114*20+P114*15)/5,1))</x:f>
      </x:c>
      <x:c r="R114" s="18" t="str"/>
      <x:c r="S114" s="18" t="str"/>
      <x:c r="T114" s="17" t="str"/>
      <x:c r="U114" s="19"/>
    </x:row>
    <x:row r="115">
      <x:c r="A115" s="17" t="str">
        <x:v>MTS-0114</x:v>
      </x:c>
      <x:c r="B115" s="17" t="str">
        <x:v>Marketplace Fee Estimator</x:v>
      </x:c>
      <x:c r="C115" s="17" t="str">
        <x:v>Marketplace and Resale</x:v>
      </x:c>
      <x:c r="D115" s="17" t="str">
        <x:v>Mobile + Web</x:v>
      </x:c>
      <x:c r="E115" s="17" t="str">
        <x:v>Online resellers</x:v>
      </x:c>
      <x:c r="F115" s="18" t="str">
        <x:v>Marketplace Fee Estimator provides a focused marketplace and resale workflow for online resellers.</x:v>
      </x:c>
      <x:c r="G115" s="18" t="str">
        <x:v>Marketplace, Alerts, Inventory, Estimator</x:v>
      </x:c>
      <x:c r="H115" s="17" t="str">
        <x:v>Subscription + Pro</x:v>
      </x:c>
      <x:c r="I115" s="17" t="str">
        <x:v>Medium</x:v>
      </x:c>
      <x:c r="J115" s="17" t="str">
        <x:v>New candidate</x:v>
      </x:c>
      <x:c r="K115" s="17" t="str">
        <x:v>Unreviewed</x:v>
      </x:c>
      <x:c r="L115" s="17"/>
      <x:c r="M115" s="17"/>
      <x:c r="N115" s="17"/>
      <x:c r="O115" s="17"/>
      <x:c r="P115" s="17"/>
      <x:c r="Q115" s="17" t="str">
        <x:f>IF(COUNT(L115:P115)&lt;5,"",ROUND((L115*25+M115*20+N115*20+O115*20+P115*15)/5,1))</x:f>
      </x:c>
      <x:c r="R115" s="18" t="str"/>
      <x:c r="S115" s="18" t="str"/>
      <x:c r="T115" s="17" t="str"/>
      <x:c r="U115" s="19"/>
    </x:row>
    <x:row r="116">
      <x:c r="A116" s="17" t="str">
        <x:v>MTS-0115</x:v>
      </x:c>
      <x:c r="B116" s="17" t="str">
        <x:v>Offer and Counteroffer Tracker</x:v>
      </x:c>
      <x:c r="C116" s="17" t="str">
        <x:v>Marketplace and Resale</x:v>
      </x:c>
      <x:c r="D116" s="17" t="str">
        <x:v>Mobile + Web</x:v>
      </x:c>
      <x:c r="E116" s="17" t="str">
        <x:v>Online resellers</x:v>
      </x:c>
      <x:c r="F116" s="18" t="str">
        <x:v>Offer and Counteroffer Tracker provides a focused marketplace and resale workflow for online resellers.</x:v>
      </x:c>
      <x:c r="G116" s="18" t="str">
        <x:v>Marketplace, Alerts, Inventory, Estimator</x:v>
      </x:c>
      <x:c r="H116" s="17" t="str">
        <x:v>Subscription + Pro</x:v>
      </x:c>
      <x:c r="I116" s="17" t="str">
        <x:v>Medium</x:v>
      </x:c>
      <x:c r="J116" s="17" t="str">
        <x:v>New candidate</x:v>
      </x:c>
      <x:c r="K116" s="17" t="str">
        <x:v>Unreviewed</x:v>
      </x:c>
      <x:c r="L116" s="17"/>
      <x:c r="M116" s="17"/>
      <x:c r="N116" s="17"/>
      <x:c r="O116" s="17"/>
      <x:c r="P116" s="17"/>
      <x:c r="Q116" s="17" t="str">
        <x:f>IF(COUNT(L116:P116)&lt;5,"",ROUND((L116*25+M116*20+N116*20+O116*20+P116*15)/5,1))</x:f>
      </x:c>
      <x:c r="R116" s="18" t="str"/>
      <x:c r="S116" s="18" t="str"/>
      <x:c r="T116" s="17" t="str"/>
      <x:c r="U116" s="19"/>
    </x:row>
    <x:row r="117">
      <x:c r="A117" s="17" t="str">
        <x:v>MTS-0116</x:v>
      </x:c>
      <x:c r="B117" s="17" t="str">
        <x:v>Auction Ending Reminder</x:v>
      </x:c>
      <x:c r="C117" s="17" t="str">
        <x:v>Marketplace and Resale</x:v>
      </x:c>
      <x:c r="D117" s="17" t="str">
        <x:v>Mobile + Web</x:v>
      </x:c>
      <x:c r="E117" s="17" t="str">
        <x:v>Online resellers</x:v>
      </x:c>
      <x:c r="F117" s="18" t="str">
        <x:v>Auction Ending Reminder provides a focused marketplace and resale workflow for online resellers.</x:v>
      </x:c>
      <x:c r="G117" s="18" t="str">
        <x:v>Marketplace, Alerts, Inventory, Estimator</x:v>
      </x:c>
      <x:c r="H117" s="17" t="str">
        <x:v>Subscription + Pro</x:v>
      </x:c>
      <x:c r="I117" s="17" t="str">
        <x:v>Medium</x:v>
      </x:c>
      <x:c r="J117" s="17" t="str">
        <x:v>New candidate</x:v>
      </x:c>
      <x:c r="K117" s="17" t="str">
        <x:v>Unreviewed</x:v>
      </x:c>
      <x:c r="L117" s="17"/>
      <x:c r="M117" s="17"/>
      <x:c r="N117" s="17"/>
      <x:c r="O117" s="17"/>
      <x:c r="P117" s="17"/>
      <x:c r="Q117" s="17" t="str">
        <x:f>IF(COUNT(L117:P117)&lt;5,"",ROUND((L117*25+M117*20+N117*20+O117*20+P117*15)/5,1))</x:f>
      </x:c>
      <x:c r="R117" s="18" t="str"/>
      <x:c r="S117" s="18" t="str"/>
      <x:c r="T117" s="17" t="str"/>
      <x:c r="U117" s="19"/>
    </x:row>
    <x:row r="118">
      <x:c r="A118" s="17" t="str">
        <x:v>MTS-0117</x:v>
      </x:c>
      <x:c r="B118" s="17" t="str">
        <x:v>Sold Comparable Notebook</x:v>
      </x:c>
      <x:c r="C118" s="17" t="str">
        <x:v>Marketplace and Resale</x:v>
      </x:c>
      <x:c r="D118" s="17" t="str">
        <x:v>Mobile + Web</x:v>
      </x:c>
      <x:c r="E118" s="17" t="str">
        <x:v>Online resellers</x:v>
      </x:c>
      <x:c r="F118" s="18" t="str">
        <x:v>Sold Comparable Notebook provides a focused marketplace and resale workflow for online resellers.</x:v>
      </x:c>
      <x:c r="G118" s="18" t="str">
        <x:v>Marketplace, Alerts, Inventory, Estimator</x:v>
      </x:c>
      <x:c r="H118" s="17" t="str">
        <x:v>Subscription + Pro</x:v>
      </x:c>
      <x:c r="I118" s="17" t="str">
        <x:v>Medium</x:v>
      </x:c>
      <x:c r="J118" s="17" t="str">
        <x:v>New candidate</x:v>
      </x:c>
      <x:c r="K118" s="17" t="str">
        <x:v>Unreviewed</x:v>
      </x:c>
      <x:c r="L118" s="17"/>
      <x:c r="M118" s="17"/>
      <x:c r="N118" s="17"/>
      <x:c r="O118" s="17"/>
      <x:c r="P118" s="17"/>
      <x:c r="Q118" s="17" t="str">
        <x:f>IF(COUNT(L118:P118)&lt;5,"",ROUND((L118*25+M118*20+N118*20+O118*20+P118*15)/5,1))</x:f>
      </x:c>
      <x:c r="R118" s="18" t="str"/>
      <x:c r="S118" s="18" t="str"/>
      <x:c r="T118" s="17" t="str"/>
      <x:c r="U118" s="19"/>
    </x:row>
    <x:row r="119">
      <x:c r="A119" s="17" t="str">
        <x:v>MTS-0118</x:v>
      </x:c>
      <x:c r="B119" s="17" t="str">
        <x:v>Reseller Sourcing Tracker</x:v>
      </x:c>
      <x:c r="C119" s="17" t="str">
        <x:v>Marketplace and Resale</x:v>
      </x:c>
      <x:c r="D119" s="17" t="str">
        <x:v>Mobile + Web</x:v>
      </x:c>
      <x:c r="E119" s="17" t="str">
        <x:v>Online resellers</x:v>
      </x:c>
      <x:c r="F119" s="18" t="str">
        <x:v>Reseller Sourcing Tracker provides a focused marketplace and resale workflow for online resellers.</x:v>
      </x:c>
      <x:c r="G119" s="18" t="str">
        <x:v>Marketplace, Alerts, Inventory, Estimator</x:v>
      </x:c>
      <x:c r="H119" s="17" t="str">
        <x:v>Subscription + Pro</x:v>
      </x:c>
      <x:c r="I119" s="17" t="str">
        <x:v>Medium</x:v>
      </x:c>
      <x:c r="J119" s="17" t="str">
        <x:v>New candidate</x:v>
      </x:c>
      <x:c r="K119" s="17" t="str">
        <x:v>Unreviewed</x:v>
      </x:c>
      <x:c r="L119" s="17"/>
      <x:c r="M119" s="17"/>
      <x:c r="N119" s="17"/>
      <x:c r="O119" s="17"/>
      <x:c r="P119" s="17"/>
      <x:c r="Q119" s="17" t="str">
        <x:f>IF(COUNT(L119:P119)&lt;5,"",ROUND((L119*25+M119*20+N119*20+O119*20+P119*15)/5,1))</x:f>
      </x:c>
      <x:c r="R119" s="18" t="str"/>
      <x:c r="S119" s="18" t="str"/>
      <x:c r="T119" s="17" t="str"/>
      <x:c r="U119" s="19"/>
    </x:row>
    <x:row r="120">
      <x:c r="A120" s="17" t="str">
        <x:v>MTS-0119</x:v>
      </x:c>
      <x:c r="B120" s="17" t="str">
        <x:v>Marketplace Returns Manager</x:v>
      </x:c>
      <x:c r="C120" s="17" t="str">
        <x:v>Marketplace and Resale</x:v>
      </x:c>
      <x:c r="D120" s="17" t="str">
        <x:v>Mobile + Web</x:v>
      </x:c>
      <x:c r="E120" s="17" t="str">
        <x:v>Online resellers</x:v>
      </x:c>
      <x:c r="F120" s="18" t="str">
        <x:v>Marketplace Returns Manager provides a focused marketplace and resale workflow for online resellers.</x:v>
      </x:c>
      <x:c r="G120" s="18" t="str">
        <x:v>Marketplace, Alerts, Inventory, Estimator</x:v>
      </x:c>
      <x:c r="H120" s="17" t="str">
        <x:v>Subscription + Pro</x:v>
      </x:c>
      <x:c r="I120" s="17" t="str">
        <x:v>Medium</x:v>
      </x:c>
      <x:c r="J120" s="17" t="str">
        <x:v>New candidate</x:v>
      </x:c>
      <x:c r="K120" s="17" t="str">
        <x:v>Unreviewed</x:v>
      </x:c>
      <x:c r="L120" s="17"/>
      <x:c r="M120" s="17"/>
      <x:c r="N120" s="17"/>
      <x:c r="O120" s="17"/>
      <x:c r="P120" s="17"/>
      <x:c r="Q120" s="17" t="str">
        <x:f>IF(COUNT(L120:P120)&lt;5,"",ROUND((L120*25+M120*20+N120*20+O120*20+P120*15)/5,1))</x:f>
      </x:c>
      <x:c r="R120" s="18" t="str"/>
      <x:c r="S120" s="18" t="str"/>
      <x:c r="T120" s="17" t="str"/>
      <x:c r="U120" s="19"/>
    </x:row>
    <x:row r="121">
      <x:c r="A121" s="17" t="str">
        <x:v>MTS-0120</x:v>
      </x:c>
      <x:c r="B121" s="17" t="str">
        <x:v>Consignor Payout Manager</x:v>
      </x:c>
      <x:c r="C121" s="17" t="str">
        <x:v>Marketplace and Resale</x:v>
      </x:c>
      <x:c r="D121" s="17" t="str">
        <x:v>Mobile + Web</x:v>
      </x:c>
      <x:c r="E121" s="17" t="str">
        <x:v>Online resellers</x:v>
      </x:c>
      <x:c r="F121" s="18" t="str">
        <x:v>Consignor Payout Manager provides a focused marketplace and resale workflow for online resellers.</x:v>
      </x:c>
      <x:c r="G121" s="18" t="str">
        <x:v>Marketplace, Alerts, Inventory, Estimator</x:v>
      </x:c>
      <x:c r="H121" s="17" t="str">
        <x:v>Subscription + Pro</x:v>
      </x:c>
      <x:c r="I121" s="17" t="str">
        <x:v>Medium</x:v>
      </x:c>
      <x:c r="J121" s="17" t="str">
        <x:v>New candidate</x:v>
      </x:c>
      <x:c r="K121" s="17" t="str">
        <x:v>Unreviewed</x:v>
      </x:c>
      <x:c r="L121" s="17"/>
      <x:c r="M121" s="17"/>
      <x:c r="N121" s="17"/>
      <x:c r="O121" s="17"/>
      <x:c r="P121" s="17"/>
      <x:c r="Q121" s="17" t="str">
        <x:f>IF(COUNT(L121:P121)&lt;5,"",ROUND((L121*25+M121*20+N121*20+O121*20+P121*15)/5,1))</x:f>
      </x:c>
      <x:c r="R121" s="18" t="str"/>
      <x:c r="S121" s="18" t="str"/>
      <x:c r="T121" s="17" t="str"/>
      <x:c r="U121" s="19"/>
    </x:row>
    <x:row r="122">
      <x:c r="A122" s="17" t="str">
        <x:v>MTS-0121</x:v>
      </x:c>
      <x:c r="B122" s="17" t="str">
        <x:v>GBP Audit Action Tracker</x:v>
      </x:c>
      <x:c r="C122" s="17" t="str">
        <x:v>Local Business Growth</x:v>
      </x:c>
      <x:c r="D122" s="17" t="str">
        <x:v>Web + Plugin</x:v>
      </x:c>
      <x:c r="E122" s="17" t="str">
        <x:v>Local businesses and agencies</x:v>
      </x:c>
      <x:c r="F122" s="18" t="str">
        <x:v>GBP Audit Action Tracker provides a focused local business growth workflow for local businesses and agencies.</x:v>
      </x:c>
      <x:c r="G122" s="18" t="str">
        <x:v>SEO, Analytics, Reports, CRM</x:v>
      </x:c>
      <x:c r="H122" s="17" t="str">
        <x:v>Subscription</x:v>
      </x:c>
      <x:c r="I122" s="17" t="str">
        <x:v>Medium</x:v>
      </x:c>
      <x:c r="J122" s="17" t="str">
        <x:v>Existing discussion/project</x:v>
      </x:c>
      <x:c r="K122" s="17" t="str">
        <x:v>Unreviewed</x:v>
      </x:c>
      <x:c r="L122" s="17"/>
      <x:c r="M122" s="17"/>
      <x:c r="N122" s="17"/>
      <x:c r="O122" s="17"/>
      <x:c r="P122" s="17"/>
      <x:c r="Q122" s="17" t="str">
        <x:f>IF(COUNT(L122:P122)&lt;5,"",ROUND((L122*25+M122*20+N122*20+O122*20+P122*15)/5,1))</x:f>
      </x:c>
      <x:c r="R122" s="18" t="str"/>
      <x:c r="S122" s="18" t="str"/>
      <x:c r="T122" s="17" t="str"/>
      <x:c r="U122" s="19"/>
    </x:row>
    <x:row r="123">
      <x:c r="A123" s="17" t="str">
        <x:v>MTS-0122</x:v>
      </x:c>
      <x:c r="B123" s="17" t="str">
        <x:v>Multi-Website Analytics Dashboard</x:v>
      </x:c>
      <x:c r="C123" s="17" t="str">
        <x:v>Local Business Growth</x:v>
      </x:c>
      <x:c r="D123" s="17" t="str">
        <x:v>Web + Plugin</x:v>
      </x:c>
      <x:c r="E123" s="17" t="str">
        <x:v>Local businesses and agencies</x:v>
      </x:c>
      <x:c r="F123" s="18" t="str">
        <x:v>Multi-Website Analytics Dashboard provides a focused local business growth workflow for local businesses and agencies.</x:v>
      </x:c>
      <x:c r="G123" s="18" t="str">
        <x:v>SEO, Analytics, Reports, CRM</x:v>
      </x:c>
      <x:c r="H123" s="17" t="str">
        <x:v>Subscription</x:v>
      </x:c>
      <x:c r="I123" s="17" t="str">
        <x:v>Medium</x:v>
      </x:c>
      <x:c r="J123" s="17" t="str">
        <x:v>Existing discussion/project</x:v>
      </x:c>
      <x:c r="K123" s="17" t="str">
        <x:v>Unreviewed</x:v>
      </x:c>
      <x:c r="L123" s="17"/>
      <x:c r="M123" s="17"/>
      <x:c r="N123" s="17"/>
      <x:c r="O123" s="17"/>
      <x:c r="P123" s="17"/>
      <x:c r="Q123" s="17" t="str">
        <x:f>IF(COUNT(L123:P123)&lt;5,"",ROUND((L123*25+M123*20+N123*20+O123*20+P123*15)/5,1))</x:f>
      </x:c>
      <x:c r="R123" s="18" t="str"/>
      <x:c r="S123" s="18" t="str"/>
      <x:c r="T123" s="17" t="str"/>
      <x:c r="U123" s="19"/>
    </x:row>
    <x:row r="124">
      <x:c r="A124" s="17" t="str">
        <x:v>MTS-0123</x:v>
      </x:c>
      <x:c r="B124" s="17" t="str">
        <x:v>Review Request Manager</x:v>
      </x:c>
      <x:c r="C124" s="17" t="str">
        <x:v>Local Business Growth</x:v>
      </x:c>
      <x:c r="D124" s="17" t="str">
        <x:v>Web + Plugin</x:v>
      </x:c>
      <x:c r="E124" s="17" t="str">
        <x:v>Local businesses and agencies</x:v>
      </x:c>
      <x:c r="F124" s="18" t="str">
        <x:v>Review Request Manager provides a focused local business growth workflow for local businesses and agencies.</x:v>
      </x:c>
      <x:c r="G124" s="18" t="str">
        <x:v>SEO, Analytics, Reports, CRM</x:v>
      </x:c>
      <x:c r="H124" s="17" t="str">
        <x:v>Subscription</x:v>
      </x:c>
      <x:c r="I124" s="17" t="str">
        <x:v>Medium</x:v>
      </x:c>
      <x:c r="J124" s="17" t="str">
        <x:v>New candidate</x:v>
      </x:c>
      <x:c r="K124" s="17" t="str">
        <x:v>Unreviewed</x:v>
      </x:c>
      <x:c r="L124" s="17"/>
      <x:c r="M124" s="17"/>
      <x:c r="N124" s="17"/>
      <x:c r="O124" s="17"/>
      <x:c r="P124" s="17"/>
      <x:c r="Q124" s="17" t="str">
        <x:f>IF(COUNT(L124:P124)&lt;5,"",ROUND((L124*25+M124*20+N124*20+O124*20+P124*15)/5,1))</x:f>
      </x:c>
      <x:c r="R124" s="18" t="str"/>
      <x:c r="S124" s="18" t="str"/>
      <x:c r="T124" s="17" t="str"/>
      <x:c r="U124" s="19"/>
    </x:row>
    <x:row r="125">
      <x:c r="A125" s="17" t="str">
        <x:v>MTS-0124</x:v>
      </x:c>
      <x:c r="B125" s="17" t="str">
        <x:v>Local Citation Tracker</x:v>
      </x:c>
      <x:c r="C125" s="17" t="str">
        <x:v>Local Business Growth</x:v>
      </x:c>
      <x:c r="D125" s="17" t="str">
        <x:v>Web + Plugin</x:v>
      </x:c>
      <x:c r="E125" s="17" t="str">
        <x:v>Local businesses and agencies</x:v>
      </x:c>
      <x:c r="F125" s="18" t="str">
        <x:v>Local Citation Tracker provides a focused local business growth workflow for local businesses and agencies.</x:v>
      </x:c>
      <x:c r="G125" s="18" t="str">
        <x:v>SEO, Analytics, Reports, CRM</x:v>
      </x:c>
      <x:c r="H125" s="17" t="str">
        <x:v>Subscription</x:v>
      </x:c>
      <x:c r="I125" s="17" t="str">
        <x:v>Medium</x:v>
      </x:c>
      <x:c r="J125" s="17" t="str">
        <x:v>New candidate</x:v>
      </x:c>
      <x:c r="K125" s="17" t="str">
        <x:v>Unreviewed</x:v>
      </x:c>
      <x:c r="L125" s="17"/>
      <x:c r="M125" s="17"/>
      <x:c r="N125" s="17"/>
      <x:c r="O125" s="17"/>
      <x:c r="P125" s="17"/>
      <x:c r="Q125" s="17" t="str">
        <x:f>IF(COUNT(L125:P125)&lt;5,"",ROUND((L125*25+M125*20+N125*20+O125*20+P125*15)/5,1))</x:f>
      </x:c>
      <x:c r="R125" s="18" t="str"/>
      <x:c r="S125" s="18" t="str"/>
      <x:c r="T125" s="17" t="str"/>
      <x:c r="U125" s="19"/>
    </x:row>
    <x:row r="126">
      <x:c r="A126" s="17" t="str">
        <x:v>MTS-0125</x:v>
      </x:c>
      <x:c r="B126" s="17" t="str">
        <x:v>Service Area Page Planner</x:v>
      </x:c>
      <x:c r="C126" s="17" t="str">
        <x:v>Local Business Growth</x:v>
      </x:c>
      <x:c r="D126" s="17" t="str">
        <x:v>Web + Plugin</x:v>
      </x:c>
      <x:c r="E126" s="17" t="str">
        <x:v>Local businesses and agencies</x:v>
      </x:c>
      <x:c r="F126" s="18" t="str">
        <x:v>Service Area Page Planner provides a focused local business growth workflow for local businesses and agencies.</x:v>
      </x:c>
      <x:c r="G126" s="18" t="str">
        <x:v>SEO, Analytics, Reports, CRM</x:v>
      </x:c>
      <x:c r="H126" s="17" t="str">
        <x:v>Subscription</x:v>
      </x:c>
      <x:c r="I126" s="17" t="str">
        <x:v>Medium</x:v>
      </x:c>
      <x:c r="J126" s="17" t="str">
        <x:v>New candidate</x:v>
      </x:c>
      <x:c r="K126" s="17" t="str">
        <x:v>Unreviewed</x:v>
      </x:c>
      <x:c r="L126" s="17"/>
      <x:c r="M126" s="17"/>
      <x:c r="N126" s="17"/>
      <x:c r="O126" s="17"/>
      <x:c r="P126" s="17"/>
      <x:c r="Q126" s="17" t="str">
        <x:f>IF(COUNT(L126:P126)&lt;5,"",ROUND((L126*25+M126*20+N126*20+O126*20+P126*15)/5,1))</x:f>
      </x:c>
      <x:c r="R126" s="18" t="str"/>
      <x:c r="S126" s="18" t="str"/>
      <x:c r="T126" s="17" t="str"/>
      <x:c r="U126" s="19"/>
    </x:row>
    <x:row r="127">
      <x:c r="A127" s="17" t="str">
        <x:v>MTS-0126</x:v>
      </x:c>
      <x:c r="B127" s="17" t="str">
        <x:v>Local Lead Intake Portal</x:v>
      </x:c>
      <x:c r="C127" s="17" t="str">
        <x:v>Local Business Growth</x:v>
      </x:c>
      <x:c r="D127" s="17" t="str">
        <x:v>Web + Plugin</x:v>
      </x:c>
      <x:c r="E127" s="17" t="str">
        <x:v>Local businesses and agencies</x:v>
      </x:c>
      <x:c r="F127" s="18" t="str">
        <x:v>Local Lead Intake Portal provides a focused local business growth workflow for local businesses and agencies.</x:v>
      </x:c>
      <x:c r="G127" s="18" t="str">
        <x:v>SEO, Analytics, Reports, CRM</x:v>
      </x:c>
      <x:c r="H127" s="17" t="str">
        <x:v>Subscription</x:v>
      </x:c>
      <x:c r="I127" s="17" t="str">
        <x:v>Medium</x:v>
      </x:c>
      <x:c r="J127" s="17" t="str">
        <x:v>New candidate</x:v>
      </x:c>
      <x:c r="K127" s="17" t="str">
        <x:v>Unreviewed</x:v>
      </x:c>
      <x:c r="L127" s="17"/>
      <x:c r="M127" s="17"/>
      <x:c r="N127" s="17"/>
      <x:c r="O127" s="17"/>
      <x:c r="P127" s="17"/>
      <x:c r="Q127" s="17" t="str">
        <x:f>IF(COUNT(L127:P127)&lt;5,"",ROUND((L127*25+M127*20+N127*20+O127*20+P127*15)/5,1))</x:f>
      </x:c>
      <x:c r="R127" s="18" t="str"/>
      <x:c r="S127" s="18" t="str"/>
      <x:c r="T127" s="17" t="str"/>
      <x:c r="U127" s="19"/>
    </x:row>
    <x:row r="128">
      <x:c r="A128" s="17" t="str">
        <x:v>MTS-0127</x:v>
      </x:c>
      <x:c r="B128" s="17" t="str">
        <x:v>Quote Follow-Up Tracker</x:v>
      </x:c>
      <x:c r="C128" s="17" t="str">
        <x:v>Local Business Growth</x:v>
      </x:c>
      <x:c r="D128" s="17" t="str">
        <x:v>Web + Plugin</x:v>
      </x:c>
      <x:c r="E128" s="17" t="str">
        <x:v>Local businesses and agencies</x:v>
      </x:c>
      <x:c r="F128" s="18" t="str">
        <x:v>Quote Follow-Up Tracker provides a focused local business growth workflow for local businesses and agencies.</x:v>
      </x:c>
      <x:c r="G128" s="18" t="str">
        <x:v>SEO, Analytics, Reports, CRM</x:v>
      </x:c>
      <x:c r="H128" s="17" t="str">
        <x:v>Subscription</x:v>
      </x:c>
      <x:c r="I128" s="17" t="str">
        <x:v>Medium</x:v>
      </x:c>
      <x:c r="J128" s="17" t="str">
        <x:v>New candidate</x:v>
      </x:c>
      <x:c r="K128" s="17" t="str">
        <x:v>Unreviewed</x:v>
      </x:c>
      <x:c r="L128" s="17"/>
      <x:c r="M128" s="17"/>
      <x:c r="N128" s="17"/>
      <x:c r="O128" s="17"/>
      <x:c r="P128" s="17"/>
      <x:c r="Q128" s="17" t="str">
        <x:f>IF(COUNT(L128:P128)&lt;5,"",ROUND((L128*25+M128*20+N128*20+O128*20+P128*15)/5,1))</x:f>
      </x:c>
      <x:c r="R128" s="18" t="str"/>
      <x:c r="S128" s="18" t="str"/>
      <x:c r="T128" s="17" t="str"/>
      <x:c r="U128" s="19"/>
    </x:row>
    <x:row r="129">
      <x:c r="A129" s="17" t="str">
        <x:v>MTS-0128</x:v>
      </x:c>
      <x:c r="B129" s="17" t="str">
        <x:v>Missed Call Follow-Up</x:v>
      </x:c>
      <x:c r="C129" s="17" t="str">
        <x:v>Local Business Growth</x:v>
      </x:c>
      <x:c r="D129" s="17" t="str">
        <x:v>Web + Plugin</x:v>
      </x:c>
      <x:c r="E129" s="17" t="str">
        <x:v>Local businesses and agencies</x:v>
      </x:c>
      <x:c r="F129" s="18" t="str">
        <x:v>Missed Call Follow-Up provides a focused local business growth workflow for local businesses and agencies.</x:v>
      </x:c>
      <x:c r="G129" s="18" t="str">
        <x:v>SEO, Analytics, Reports, CRM</x:v>
      </x:c>
      <x:c r="H129" s="17" t="str">
        <x:v>Subscription</x:v>
      </x:c>
      <x:c r="I129" s="17" t="str">
        <x:v>Medium</x:v>
      </x:c>
      <x:c r="J129" s="17" t="str">
        <x:v>New candidate</x:v>
      </x:c>
      <x:c r="K129" s="17" t="str">
        <x:v>Unreviewed</x:v>
      </x:c>
      <x:c r="L129" s="17"/>
      <x:c r="M129" s="17"/>
      <x:c r="N129" s="17"/>
      <x:c r="O129" s="17"/>
      <x:c r="P129" s="17"/>
      <x:c r="Q129" s="17" t="str">
        <x:f>IF(COUNT(L129:P129)&lt;5,"",ROUND((L129*25+M129*20+N129*20+O129*20+P129*15)/5,1))</x:f>
      </x:c>
      <x:c r="R129" s="18" t="str"/>
      <x:c r="S129" s="18" t="str"/>
      <x:c r="T129" s="17" t="str"/>
      <x:c r="U129" s="19"/>
    </x:row>
    <x:row r="130">
      <x:c r="A130" s="17" t="str">
        <x:v>MTS-0129</x:v>
      </x:c>
      <x:c r="B130" s="17" t="str">
        <x:v>Appointment Confirmation Hub</x:v>
      </x:c>
      <x:c r="C130" s="17" t="str">
        <x:v>Local Business Growth</x:v>
      </x:c>
      <x:c r="D130" s="17" t="str">
        <x:v>Web + Plugin</x:v>
      </x:c>
      <x:c r="E130" s="17" t="str">
        <x:v>Local businesses and agencies</x:v>
      </x:c>
      <x:c r="F130" s="18" t="str">
        <x:v>Appointment Confirmation Hub provides a focused local business growth workflow for local businesses and agencies.</x:v>
      </x:c>
      <x:c r="G130" s="18" t="str">
        <x:v>SEO, Analytics, Reports, CRM</x:v>
      </x:c>
      <x:c r="H130" s="17" t="str">
        <x:v>Subscription</x:v>
      </x:c>
      <x:c r="I130" s="17" t="str">
        <x:v>Medium</x:v>
      </x:c>
      <x:c r="J130" s="17" t="str">
        <x:v>New candidate</x:v>
      </x:c>
      <x:c r="K130" s="17" t="str">
        <x:v>Unreviewed</x:v>
      </x:c>
      <x:c r="L130" s="17"/>
      <x:c r="M130" s="17"/>
      <x:c r="N130" s="17"/>
      <x:c r="O130" s="17"/>
      <x:c r="P130" s="17"/>
      <x:c r="Q130" s="17" t="str">
        <x:f>IF(COUNT(L130:P130)&lt;5,"",ROUND((L130*25+M130*20+N130*20+O130*20+P130*15)/5,1))</x:f>
      </x:c>
      <x:c r="R130" s="18" t="str"/>
      <x:c r="S130" s="18" t="str"/>
      <x:c r="T130" s="17" t="str"/>
      <x:c r="U130" s="19"/>
    </x:row>
    <x:row r="131">
      <x:c r="A131" s="17" t="str">
        <x:v>MTS-0130</x:v>
      </x:c>
      <x:c r="B131" s="17" t="str">
        <x:v>Referral Tracking Portal</x:v>
      </x:c>
      <x:c r="C131" s="17" t="str">
        <x:v>Local Business Growth</x:v>
      </x:c>
      <x:c r="D131" s="17" t="str">
        <x:v>Web + Plugin</x:v>
      </x:c>
      <x:c r="E131" s="17" t="str">
        <x:v>Local businesses and agencies</x:v>
      </x:c>
      <x:c r="F131" s="18" t="str">
        <x:v>Referral Tracking Portal provides a focused local business growth workflow for local businesses and agencies.</x:v>
      </x:c>
      <x:c r="G131" s="18" t="str">
        <x:v>SEO, Analytics, Reports, CRM</x:v>
      </x:c>
      <x:c r="H131" s="17" t="str">
        <x:v>Subscription</x:v>
      </x:c>
      <x:c r="I131" s="17" t="str">
        <x:v>Medium</x:v>
      </x:c>
      <x:c r="J131" s="17" t="str">
        <x:v>New candidate</x:v>
      </x:c>
      <x:c r="K131" s="17" t="str">
        <x:v>Unreviewed</x:v>
      </x:c>
      <x:c r="L131" s="17"/>
      <x:c r="M131" s="17"/>
      <x:c r="N131" s="17"/>
      <x:c r="O131" s="17"/>
      <x:c r="P131" s="17"/>
      <x:c r="Q131" s="17" t="str">
        <x:f>IF(COUNT(L131:P131)&lt;5,"",ROUND((L131*25+M131*20+N131*20+O131*20+P131*15)/5,1))</x:f>
      </x:c>
      <x:c r="R131" s="18" t="str"/>
      <x:c r="S131" s="18" t="str"/>
      <x:c r="T131" s="17" t="str"/>
      <x:c r="U131" s="19"/>
    </x:row>
    <x:row r="132">
      <x:c r="A132" s="17" t="str">
        <x:v>MTS-0131</x:v>
      </x:c>
      <x:c r="B132" s="17" t="str">
        <x:v>Competitor Snapshot Reporter</x:v>
      </x:c>
      <x:c r="C132" s="17" t="str">
        <x:v>Local Business Growth</x:v>
      </x:c>
      <x:c r="D132" s="17" t="str">
        <x:v>Web + Plugin</x:v>
      </x:c>
      <x:c r="E132" s="17" t="str">
        <x:v>Local businesses and agencies</x:v>
      </x:c>
      <x:c r="F132" s="18" t="str">
        <x:v>Competitor Snapshot Reporter provides a focused local business growth workflow for local businesses and agencies.</x:v>
      </x:c>
      <x:c r="G132" s="18" t="str">
        <x:v>SEO, Analytics, Reports, CRM</x:v>
      </x:c>
      <x:c r="H132" s="17" t="str">
        <x:v>Subscription</x:v>
      </x:c>
      <x:c r="I132" s="17" t="str">
        <x:v>Medium</x:v>
      </x:c>
      <x:c r="J132" s="17" t="str">
        <x:v>New candidate</x:v>
      </x:c>
      <x:c r="K132" s="17" t="str">
        <x:v>Unreviewed</x:v>
      </x:c>
      <x:c r="L132" s="17"/>
      <x:c r="M132" s="17"/>
      <x:c r="N132" s="17"/>
      <x:c r="O132" s="17"/>
      <x:c r="P132" s="17"/>
      <x:c r="Q132" s="17" t="str">
        <x:f>IF(COUNT(L132:P132)&lt;5,"",ROUND((L132*25+M132*20+N132*20+O132*20+P132*15)/5,1))</x:f>
      </x:c>
      <x:c r="R132" s="18" t="str"/>
      <x:c r="S132" s="18" t="str"/>
      <x:c r="T132" s="17" t="str"/>
      <x:c r="U132" s="19"/>
    </x:row>
    <x:row r="133">
      <x:c r="A133" s="17" t="str">
        <x:v>MTS-0132</x:v>
      </x:c>
      <x:c r="B133" s="17" t="str">
        <x:v>Local Rank Notes</x:v>
      </x:c>
      <x:c r="C133" s="17" t="str">
        <x:v>Local Business Growth</x:v>
      </x:c>
      <x:c r="D133" s="17" t="str">
        <x:v>Web + Plugin</x:v>
      </x:c>
      <x:c r="E133" s="17" t="str">
        <x:v>Local businesses and agencies</x:v>
      </x:c>
      <x:c r="F133" s="18" t="str">
        <x:v>Local Rank Notes provides a focused local business growth workflow for local businesses and agencies.</x:v>
      </x:c>
      <x:c r="G133" s="18" t="str">
        <x:v>SEO, Analytics, Reports, CRM</x:v>
      </x:c>
      <x:c r="H133" s="17" t="str">
        <x:v>Subscription</x:v>
      </x:c>
      <x:c r="I133" s="17" t="str">
        <x:v>Medium</x:v>
      </x:c>
      <x:c r="J133" s="17" t="str">
        <x:v>New candidate</x:v>
      </x:c>
      <x:c r="K133" s="17" t="str">
        <x:v>Unreviewed</x:v>
      </x:c>
      <x:c r="L133" s="17"/>
      <x:c r="M133" s="17"/>
      <x:c r="N133" s="17"/>
      <x:c r="O133" s="17"/>
      <x:c r="P133" s="17"/>
      <x:c r="Q133" s="17" t="str">
        <x:f>IF(COUNT(L133:P133)&lt;5,"",ROUND((L133*25+M133*20+N133*20+O133*20+P133*15)/5,1))</x:f>
      </x:c>
      <x:c r="R133" s="18" t="str"/>
      <x:c r="S133" s="18" t="str"/>
      <x:c r="T133" s="17" t="str"/>
      <x:c r="U133" s="19"/>
    </x:row>
    <x:row r="134">
      <x:c r="A134" s="17" t="str">
        <x:v>MTS-0133</x:v>
      </x:c>
      <x:c r="B134" s="17" t="str">
        <x:v>WordPress Bulk Content Cleanup</x:v>
      </x:c>
      <x:c r="C134" s="17" t="str">
        <x:v>WordPress Content</x:v>
      </x:c>
      <x:c r="D134" s="17" t="str">
        <x:v>WordPress Plugin</x:v>
      </x:c>
      <x:c r="E134" s="17" t="str">
        <x:v>Site owners and agencies</x:v>
      </x:c>
      <x:c r="F134" s="18" t="str">
        <x:v>WordPress Bulk Content Cleanup provides a focused wordpress content workflow for site owners and agencies.</x:v>
      </x:c>
      <x:c r="G134" s="18" t="str">
        <x:v>WordPress Scan, Bulk Actions, Reports</x:v>
      </x:c>
      <x:c r="H134" s="17" t="str">
        <x:v>Annual Pro</x:v>
      </x:c>
      <x:c r="I134" s="17" t="str">
        <x:v>Medium</x:v>
      </x:c>
      <x:c r="J134" s="17" t="str">
        <x:v>Existing discussion/project</x:v>
      </x:c>
      <x:c r="K134" s="17" t="str">
        <x:v>Unreviewed</x:v>
      </x:c>
      <x:c r="L134" s="17"/>
      <x:c r="M134" s="17"/>
      <x:c r="N134" s="17"/>
      <x:c r="O134" s="17"/>
      <x:c r="P134" s="17"/>
      <x:c r="Q134" s="17" t="str">
        <x:f>IF(COUNT(L134:P134)&lt;5,"",ROUND((L134*25+M134*20+N134*20+O134*20+P134*15)/5,1))</x:f>
      </x:c>
      <x:c r="R134" s="18" t="str"/>
      <x:c r="S134" s="18" t="str"/>
      <x:c r="T134" s="17" t="str"/>
      <x:c r="U134" s="19"/>
    </x:row>
    <x:row r="135">
      <x:c r="A135" s="17" t="str">
        <x:v>MTS-0134</x:v>
      </x:c>
      <x:c r="B135" s="17" t="str">
        <x:v>Broken Shortcode Finder</x:v>
      </x:c>
      <x:c r="C135" s="17" t="str">
        <x:v>WordPress Content</x:v>
      </x:c>
      <x:c r="D135" s="17" t="str">
        <x:v>WordPress Plugin</x:v>
      </x:c>
      <x:c r="E135" s="17" t="str">
        <x:v>Site owners and agencies</x:v>
      </x:c>
      <x:c r="F135" s="18" t="str">
        <x:v>Broken Shortcode Finder provides a focused wordpress content workflow for site owners and agencies.</x:v>
      </x:c>
      <x:c r="G135" s="18" t="str">
        <x:v>WordPress Scan, Bulk Actions, Reports</x:v>
      </x:c>
      <x:c r="H135" s="17" t="str">
        <x:v>Annual Pro</x:v>
      </x:c>
      <x:c r="I135" s="17" t="str">
        <x:v>Medium</x:v>
      </x:c>
      <x:c r="J135" s="17" t="str">
        <x:v>New candidate</x:v>
      </x:c>
      <x:c r="K135" s="17" t="str">
        <x:v>Unreviewed</x:v>
      </x:c>
      <x:c r="L135" s="17"/>
      <x:c r="M135" s="17"/>
      <x:c r="N135" s="17"/>
      <x:c r="O135" s="17"/>
      <x:c r="P135" s="17"/>
      <x:c r="Q135" s="17" t="str">
        <x:f>IF(COUNT(L135:P135)&lt;5,"",ROUND((L135*25+M135*20+N135*20+O135*20+P135*15)/5,1))</x:f>
      </x:c>
      <x:c r="R135" s="18" t="str"/>
      <x:c r="S135" s="18" t="str"/>
      <x:c r="T135" s="17" t="str"/>
      <x:c r="U135" s="19"/>
    </x:row>
    <x:row r="136">
      <x:c r="A136" s="17" t="str">
        <x:v>MTS-0135</x:v>
      </x:c>
      <x:c r="B136" s="17" t="str">
        <x:v>Stale Content Detector</x:v>
      </x:c>
      <x:c r="C136" s="17" t="str">
        <x:v>WordPress Content</x:v>
      </x:c>
      <x:c r="D136" s="17" t="str">
        <x:v>WordPress Plugin</x:v>
      </x:c>
      <x:c r="E136" s="17" t="str">
        <x:v>Site owners and agencies</x:v>
      </x:c>
      <x:c r="F136" s="18" t="str">
        <x:v>Stale Content Detector provides a focused wordpress content workflow for site owners and agencies.</x:v>
      </x:c>
      <x:c r="G136" s="18" t="str">
        <x:v>WordPress Scan, Bulk Actions, Reports</x:v>
      </x:c>
      <x:c r="H136" s="17" t="str">
        <x:v>Annual Pro</x:v>
      </x:c>
      <x:c r="I136" s="17" t="str">
        <x:v>Medium</x:v>
      </x:c>
      <x:c r="J136" s="17" t="str">
        <x:v>New candidate</x:v>
      </x:c>
      <x:c r="K136" s="17" t="str">
        <x:v>Unreviewed</x:v>
      </x:c>
      <x:c r="L136" s="17"/>
      <x:c r="M136" s="17"/>
      <x:c r="N136" s="17"/>
      <x:c r="O136" s="17"/>
      <x:c r="P136" s="17"/>
      <x:c r="Q136" s="17" t="str">
        <x:f>IF(COUNT(L136:P136)&lt;5,"",ROUND((L136*25+M136*20+N136*20+O136*20+P136*15)/5,1))</x:f>
      </x:c>
      <x:c r="R136" s="18" t="str"/>
      <x:c r="S136" s="18" t="str"/>
      <x:c r="T136" s="17" t="str"/>
      <x:c r="U136" s="19"/>
    </x:row>
    <x:row r="137">
      <x:c r="A137" s="17" t="str">
        <x:v>MTS-0136</x:v>
      </x:c>
      <x:c r="B137" s="17" t="str">
        <x:v>Local Business Schema Manager</x:v>
      </x:c>
      <x:c r="C137" s="17" t="str">
        <x:v>WordPress Content</x:v>
      </x:c>
      <x:c r="D137" s="17" t="str">
        <x:v>WordPress Plugin</x:v>
      </x:c>
      <x:c r="E137" s="17" t="str">
        <x:v>Site owners and agencies</x:v>
      </x:c>
      <x:c r="F137" s="18" t="str">
        <x:v>Local Business Schema Manager provides a focused wordpress content workflow for site owners and agencies.</x:v>
      </x:c>
      <x:c r="G137" s="18" t="str">
        <x:v>WordPress Scan, Bulk Actions, Reports</x:v>
      </x:c>
      <x:c r="H137" s="17" t="str">
        <x:v>Annual Pro</x:v>
      </x:c>
      <x:c r="I137" s="17" t="str">
        <x:v>Medium</x:v>
      </x:c>
      <x:c r="J137" s="17" t="str">
        <x:v>New candidate</x:v>
      </x:c>
      <x:c r="K137" s="17" t="str">
        <x:v>Unreviewed</x:v>
      </x:c>
      <x:c r="L137" s="17"/>
      <x:c r="M137" s="17"/>
      <x:c r="N137" s="17"/>
      <x:c r="O137" s="17"/>
      <x:c r="P137" s="17"/>
      <x:c r="Q137" s="17" t="str">
        <x:f>IF(COUNT(L137:P137)&lt;5,"",ROUND((L137*25+M137*20+N137*20+O137*20+P137*15)/5,1))</x:f>
      </x:c>
      <x:c r="R137" s="18" t="str"/>
      <x:c r="S137" s="18" t="str"/>
      <x:c r="T137" s="17" t="str"/>
      <x:c r="U137" s="19"/>
    </x:row>
    <x:row r="138">
      <x:c r="A138" s="17" t="str">
        <x:v>MTS-0137</x:v>
      </x:c>
      <x:c r="B138" s="17" t="str">
        <x:v>Service Area Page Builder</x:v>
      </x:c>
      <x:c r="C138" s="17" t="str">
        <x:v>WordPress Content</x:v>
      </x:c>
      <x:c r="D138" s="17" t="str">
        <x:v>WordPress Plugin</x:v>
      </x:c>
      <x:c r="E138" s="17" t="str">
        <x:v>Site owners and agencies</x:v>
      </x:c>
      <x:c r="F138" s="18" t="str">
        <x:v>Service Area Page Builder provides a focused wordpress content workflow for site owners and agencies.</x:v>
      </x:c>
      <x:c r="G138" s="18" t="str">
        <x:v>WordPress Scan, Bulk Actions, Reports</x:v>
      </x:c>
      <x:c r="H138" s="17" t="str">
        <x:v>Annual Pro</x:v>
      </x:c>
      <x:c r="I138" s="17" t="str">
        <x:v>Medium</x:v>
      </x:c>
      <x:c r="J138" s="17" t="str">
        <x:v>New candidate</x:v>
      </x:c>
      <x:c r="K138" s="17" t="str">
        <x:v>Unreviewed</x:v>
      </x:c>
      <x:c r="L138" s="17"/>
      <x:c r="M138" s="17"/>
      <x:c r="N138" s="17"/>
      <x:c r="O138" s="17"/>
      <x:c r="P138" s="17"/>
      <x:c r="Q138" s="17" t="str">
        <x:f>IF(COUNT(L138:P138)&lt;5,"",ROUND((L138*25+M138*20+N138*20+O138*20+P138*15)/5,1))</x:f>
      </x:c>
      <x:c r="R138" s="18" t="str"/>
      <x:c r="S138" s="18" t="str"/>
      <x:c r="T138" s="17" t="str"/>
      <x:c r="U138" s="19"/>
    </x:row>
    <x:row r="139">
      <x:c r="A139" s="17" t="str">
        <x:v>MTS-0138</x:v>
      </x:c>
      <x:c r="B139" s="17" t="str">
        <x:v>Image Alt Text Audit</x:v>
      </x:c>
      <x:c r="C139" s="17" t="str">
        <x:v>WordPress Content</x:v>
      </x:c>
      <x:c r="D139" s="17" t="str">
        <x:v>WordPress Plugin</x:v>
      </x:c>
      <x:c r="E139" s="17" t="str">
        <x:v>Site owners and agencies</x:v>
      </x:c>
      <x:c r="F139" s="18" t="str">
        <x:v>Image Alt Text Audit provides a focused wordpress content workflow for site owners and agencies.</x:v>
      </x:c>
      <x:c r="G139" s="18" t="str">
        <x:v>WordPress Scan, Bulk Actions, Reports</x:v>
      </x:c>
      <x:c r="H139" s="17" t="str">
        <x:v>Annual Pro</x:v>
      </x:c>
      <x:c r="I139" s="17" t="str">
        <x:v>Medium</x:v>
      </x:c>
      <x:c r="J139" s="17" t="str">
        <x:v>New candidate</x:v>
      </x:c>
      <x:c r="K139" s="17" t="str">
        <x:v>Unreviewed</x:v>
      </x:c>
      <x:c r="L139" s="17"/>
      <x:c r="M139" s="17"/>
      <x:c r="N139" s="17"/>
      <x:c r="O139" s="17"/>
      <x:c r="P139" s="17"/>
      <x:c r="Q139" s="17" t="str">
        <x:f>IF(COUNT(L139:P139)&lt;5,"",ROUND((L139*25+M139*20+N139*20+O139*20+P139*15)/5,1))</x:f>
      </x:c>
      <x:c r="R139" s="18" t="str"/>
      <x:c r="S139" s="18" t="str"/>
      <x:c r="T139" s="17" t="str"/>
      <x:c r="U139" s="19"/>
    </x:row>
    <x:row r="140">
      <x:c r="A140" s="17" t="str">
        <x:v>MTS-0139</x:v>
      </x:c>
      <x:c r="B140" s="17" t="str">
        <x:v>NAP Consistency Checker</x:v>
      </x:c>
      <x:c r="C140" s="17" t="str">
        <x:v>WordPress Content</x:v>
      </x:c>
      <x:c r="D140" s="17" t="str">
        <x:v>WordPress Plugin</x:v>
      </x:c>
      <x:c r="E140" s="17" t="str">
        <x:v>Site owners and agencies</x:v>
      </x:c>
      <x:c r="F140" s="18" t="str">
        <x:v>NAP Consistency Checker provides a focused wordpress content workflow for site owners and agencies.</x:v>
      </x:c>
      <x:c r="G140" s="18" t="str">
        <x:v>WordPress Scan, Bulk Actions, Reports</x:v>
      </x:c>
      <x:c r="H140" s="17" t="str">
        <x:v>Annual Pro</x:v>
      </x:c>
      <x:c r="I140" s="17" t="str">
        <x:v>Medium</x:v>
      </x:c>
      <x:c r="J140" s="17" t="str">
        <x:v>New candidate</x:v>
      </x:c>
      <x:c r="K140" s="17" t="str">
        <x:v>Unreviewed</x:v>
      </x:c>
      <x:c r="L140" s="17"/>
      <x:c r="M140" s="17"/>
      <x:c r="N140" s="17"/>
      <x:c r="O140" s="17"/>
      <x:c r="P140" s="17"/>
      <x:c r="Q140" s="17" t="str">
        <x:f>IF(COUNT(L140:P140)&lt;5,"",ROUND((L140*25+M140*20+N140*20+O140*20+P140*15)/5,1))</x:f>
      </x:c>
      <x:c r="R140" s="18" t="str"/>
      <x:c r="S140" s="18" t="str"/>
      <x:c r="T140" s="17" t="str"/>
      <x:c r="U140" s="19"/>
    </x:row>
    <x:row r="141">
      <x:c r="A141" s="17" t="str">
        <x:v>MTS-0140</x:v>
      </x:c>
      <x:c r="B141" s="17" t="str">
        <x:v>Affiliate Disclosure Manager</x:v>
      </x:c>
      <x:c r="C141" s="17" t="str">
        <x:v>WordPress Content</x:v>
      </x:c>
      <x:c r="D141" s="17" t="str">
        <x:v>WordPress Plugin</x:v>
      </x:c>
      <x:c r="E141" s="17" t="str">
        <x:v>Site owners and agencies</x:v>
      </x:c>
      <x:c r="F141" s="18" t="str">
        <x:v>Affiliate Disclosure Manager provides a focused wordpress content workflow for site owners and agencies.</x:v>
      </x:c>
      <x:c r="G141" s="18" t="str">
        <x:v>WordPress Scan, Bulk Actions, Reports</x:v>
      </x:c>
      <x:c r="H141" s="17" t="str">
        <x:v>Annual Pro</x:v>
      </x:c>
      <x:c r="I141" s="17" t="str">
        <x:v>Medium</x:v>
      </x:c>
      <x:c r="J141" s="17" t="str">
        <x:v>New candidate</x:v>
      </x:c>
      <x:c r="K141" s="17" t="str">
        <x:v>Unreviewed</x:v>
      </x:c>
      <x:c r="L141" s="17"/>
      <x:c r="M141" s="17"/>
      <x:c r="N141" s="17"/>
      <x:c r="O141" s="17"/>
      <x:c r="P141" s="17"/>
      <x:c r="Q141" s="17" t="str">
        <x:f>IF(COUNT(L141:P141)&lt;5,"",ROUND((L141*25+M141*20+N141*20+O141*20+P141*15)/5,1))</x:f>
      </x:c>
      <x:c r="R141" s="18" t="str"/>
      <x:c r="S141" s="18" t="str"/>
      <x:c r="T141" s="17" t="str"/>
      <x:c r="U141" s="19"/>
    </x:row>
    <x:row r="142">
      <x:c r="A142" s="17" t="str">
        <x:v>MTS-0141</x:v>
      </x:c>
      <x:c r="B142" s="17" t="str">
        <x:v>Client Content Approval</x:v>
      </x:c>
      <x:c r="C142" s="17" t="str">
        <x:v>WordPress Content</x:v>
      </x:c>
      <x:c r="D142" s="17" t="str">
        <x:v>WordPress Plugin</x:v>
      </x:c>
      <x:c r="E142" s="17" t="str">
        <x:v>Site owners and agencies</x:v>
      </x:c>
      <x:c r="F142" s="18" t="str">
        <x:v>Client Content Approval provides a focused wordpress content workflow for site owners and agencies.</x:v>
      </x:c>
      <x:c r="G142" s="18" t="str">
        <x:v>WordPress Scan, Bulk Actions, Reports</x:v>
      </x:c>
      <x:c r="H142" s="17" t="str">
        <x:v>Annual Pro</x:v>
      </x:c>
      <x:c r="I142" s="17" t="str">
        <x:v>Medium</x:v>
      </x:c>
      <x:c r="J142" s="17" t="str">
        <x:v>New candidate</x:v>
      </x:c>
      <x:c r="K142" s="17" t="str">
        <x:v>Unreviewed</x:v>
      </x:c>
      <x:c r="L142" s="17"/>
      <x:c r="M142" s="17"/>
      <x:c r="N142" s="17"/>
      <x:c r="O142" s="17"/>
      <x:c r="P142" s="17"/>
      <x:c r="Q142" s="17" t="str">
        <x:f>IF(COUNT(L142:P142)&lt;5,"",ROUND((L142*25+M142*20+N142*20+O142*20+P142*15)/5,1))</x:f>
      </x:c>
      <x:c r="R142" s="18" t="str"/>
      <x:c r="S142" s="18" t="str"/>
      <x:c r="T142" s="17" t="str"/>
      <x:c r="U142" s="19"/>
    </x:row>
    <x:row r="143">
      <x:c r="A143" s="17" t="str">
        <x:v>MTS-0142</x:v>
      </x:c>
      <x:c r="B143" s="17" t="str">
        <x:v>Website Maintenance Reporter</x:v>
      </x:c>
      <x:c r="C143" s="17" t="str">
        <x:v>WordPress Content</x:v>
      </x:c>
      <x:c r="D143" s="17" t="str">
        <x:v>WordPress Plugin</x:v>
      </x:c>
      <x:c r="E143" s="17" t="str">
        <x:v>Site owners and agencies</x:v>
      </x:c>
      <x:c r="F143" s="18" t="str">
        <x:v>Website Maintenance Reporter provides a focused wordpress content workflow for site owners and agencies.</x:v>
      </x:c>
      <x:c r="G143" s="18" t="str">
        <x:v>WordPress Scan, Bulk Actions, Reports</x:v>
      </x:c>
      <x:c r="H143" s="17" t="str">
        <x:v>Annual Pro</x:v>
      </x:c>
      <x:c r="I143" s="17" t="str">
        <x:v>Medium</x:v>
      </x:c>
      <x:c r="J143" s="17" t="str">
        <x:v>New candidate</x:v>
      </x:c>
      <x:c r="K143" s="17" t="str">
        <x:v>Unreviewed</x:v>
      </x:c>
      <x:c r="L143" s="17"/>
      <x:c r="M143" s="17"/>
      <x:c r="N143" s="17"/>
      <x:c r="O143" s="17"/>
      <x:c r="P143" s="17"/>
      <x:c r="Q143" s="17" t="str">
        <x:f>IF(COUNT(L143:P143)&lt;5,"",ROUND((L143*25+M143*20+N143*20+O143*20+P143*15)/5,1))</x:f>
      </x:c>
      <x:c r="R143" s="18" t="str"/>
      <x:c r="S143" s="18" t="str"/>
      <x:c r="T143" s="17" t="str"/>
      <x:c r="U143" s="19"/>
    </x:row>
    <x:row r="144">
      <x:c r="A144" s="17" t="str">
        <x:v>MTS-0143</x:v>
      </x:c>
      <x:c r="B144" s="17" t="str">
        <x:v>Duplicate Media Finder</x:v>
      </x:c>
      <x:c r="C144" s="17" t="str">
        <x:v>WordPress Content</x:v>
      </x:c>
      <x:c r="D144" s="17" t="str">
        <x:v>WordPress Plugin</x:v>
      </x:c>
      <x:c r="E144" s="17" t="str">
        <x:v>Site owners and agencies</x:v>
      </x:c>
      <x:c r="F144" s="18" t="str">
        <x:v>Duplicate Media Finder provides a focused wordpress content workflow for site owners and agencies.</x:v>
      </x:c>
      <x:c r="G144" s="18" t="str">
        <x:v>WordPress Scan, Bulk Actions, Reports</x:v>
      </x:c>
      <x:c r="H144" s="17" t="str">
        <x:v>Annual Pro</x:v>
      </x:c>
      <x:c r="I144" s="17" t="str">
        <x:v>Medium</x:v>
      </x:c>
      <x:c r="J144" s="17" t="str">
        <x:v>New candidate</x:v>
      </x:c>
      <x:c r="K144" s="17" t="str">
        <x:v>Unreviewed</x:v>
      </x:c>
      <x:c r="L144" s="17"/>
      <x:c r="M144" s="17"/>
      <x:c r="N144" s="17"/>
      <x:c r="O144" s="17"/>
      <x:c r="P144" s="17"/>
      <x:c r="Q144" s="17" t="str">
        <x:f>IF(COUNT(L144:P144)&lt;5,"",ROUND((L144*25+M144*20+N144*20+O144*20+P144*15)/5,1))</x:f>
      </x:c>
      <x:c r="R144" s="18" t="str"/>
      <x:c r="S144" s="18" t="str"/>
      <x:c r="T144" s="17" t="str"/>
      <x:c r="U144" s="19"/>
    </x:row>
    <x:row r="145">
      <x:c r="A145" s="17" t="str">
        <x:v>MTS-0144</x:v>
      </x:c>
      <x:c r="B145" s="17" t="str">
        <x:v>Contractor Before After Gallery</x:v>
      </x:c>
      <x:c r="C145" s="17" t="str">
        <x:v>WordPress Content</x:v>
      </x:c>
      <x:c r="D145" s="17" t="str">
        <x:v>WordPress Plugin</x:v>
      </x:c>
      <x:c r="E145" s="17" t="str">
        <x:v>Site owners and agencies</x:v>
      </x:c>
      <x:c r="F145" s="18" t="str">
        <x:v>Contractor Before After Gallery provides a focused wordpress content workflow for site owners and agencies.</x:v>
      </x:c>
      <x:c r="G145" s="18" t="str">
        <x:v>WordPress Scan, Bulk Actions, Reports</x:v>
      </x:c>
      <x:c r="H145" s="17" t="str">
        <x:v>Annual Pro</x:v>
      </x:c>
      <x:c r="I145" s="17" t="str">
        <x:v>Medium</x:v>
      </x:c>
      <x:c r="J145" s="17" t="str">
        <x:v>New candidate</x:v>
      </x:c>
      <x:c r="K145" s="17" t="str">
        <x:v>Unreviewed</x:v>
      </x:c>
      <x:c r="L145" s="17"/>
      <x:c r="M145" s="17"/>
      <x:c r="N145" s="17"/>
      <x:c r="O145" s="17"/>
      <x:c r="P145" s="17"/>
      <x:c r="Q145" s="17" t="str">
        <x:f>IF(COUNT(L145:P145)&lt;5,"",ROUND((L145*25+M145*20+N145*20+O145*20+P145*15)/5,1))</x:f>
      </x:c>
      <x:c r="R145" s="18" t="str"/>
      <x:c r="S145" s="18" t="str"/>
      <x:c r="T145" s="17" t="str"/>
      <x:c r="U145" s="19"/>
    </x:row>
    <x:row r="146">
      <x:c r="A146" s="17" t="str">
        <x:v>MTS-0145</x:v>
      </x:c>
      <x:c r="B146" s="17" t="str">
        <x:v>Security Header Audit</x:v>
      </x:c>
      <x:c r="C146" s="17" t="str">
        <x:v>WordPress Operations</x:v>
      </x:c>
      <x:c r="D146" s="17" t="str">
        <x:v>WordPress Plugin</x:v>
      </x:c>
      <x:c r="E146" s="17" t="str">
        <x:v>Site administrators</x:v>
      </x:c>
      <x:c r="F146" s="18" t="str">
        <x:v>Security Header Audit provides a focused wordpress operations workflow for site administrators.</x:v>
      </x:c>
      <x:c r="G146" s="18" t="str">
        <x:v>WordPress Audit, Security, Reports</x:v>
      </x:c>
      <x:c r="H146" s="17" t="str">
        <x:v>Annual Pro</x:v>
      </x:c>
      <x:c r="I146" s="17" t="str">
        <x:v>Medium</x:v>
      </x:c>
      <x:c r="J146" s="17" t="str">
        <x:v>New candidate</x:v>
      </x:c>
      <x:c r="K146" s="17" t="str">
        <x:v>Unreviewed</x:v>
      </x:c>
      <x:c r="L146" s="17"/>
      <x:c r="M146" s="17"/>
      <x:c r="N146" s="17"/>
      <x:c r="O146" s="17"/>
      <x:c r="P146" s="17"/>
      <x:c r="Q146" s="17" t="str">
        <x:f>IF(COUNT(L146:P146)&lt;5,"",ROUND((L146*25+M146*20+N146*20+O146*20+P146*15)/5,1))</x:f>
      </x:c>
      <x:c r="R146" s="18" t="str"/>
      <x:c r="S146" s="18" t="str"/>
      <x:c r="T146" s="17" t="str"/>
      <x:c r="U146" s="19"/>
    </x:row>
    <x:row r="147">
      <x:c r="A147" s="17" t="str">
        <x:v>MTS-0146</x:v>
      </x:c>
      <x:c r="B147" s="17" t="str">
        <x:v>WordPress Role Auditor</x:v>
      </x:c>
      <x:c r="C147" s="17" t="str">
        <x:v>WordPress Operations</x:v>
      </x:c>
      <x:c r="D147" s="17" t="str">
        <x:v>WordPress Plugin</x:v>
      </x:c>
      <x:c r="E147" s="17" t="str">
        <x:v>Site administrators</x:v>
      </x:c>
      <x:c r="F147" s="18" t="str">
        <x:v>WordPress Role Auditor provides a focused wordpress operations workflow for site administrators.</x:v>
      </x:c>
      <x:c r="G147" s="18" t="str">
        <x:v>WordPress Audit, Security, Reports</x:v>
      </x:c>
      <x:c r="H147" s="17" t="str">
        <x:v>Annual Pro</x:v>
      </x:c>
      <x:c r="I147" s="17" t="str">
        <x:v>Medium</x:v>
      </x:c>
      <x:c r="J147" s="17" t="str">
        <x:v>New candidate</x:v>
      </x:c>
      <x:c r="K147" s="17" t="str">
        <x:v>Unreviewed</x:v>
      </x:c>
      <x:c r="L147" s="17"/>
      <x:c r="M147" s="17"/>
      <x:c r="N147" s="17"/>
      <x:c r="O147" s="17"/>
      <x:c r="P147" s="17"/>
      <x:c r="Q147" s="17" t="str">
        <x:f>IF(COUNT(L147:P147)&lt;5,"",ROUND((L147*25+M147*20+N147*20+O147*20+P147*15)/5,1))</x:f>
      </x:c>
      <x:c r="R147" s="18" t="str"/>
      <x:c r="S147" s="18" t="str"/>
      <x:c r="T147" s="17" t="str"/>
      <x:c r="U147" s="19"/>
    </x:row>
    <x:row r="148">
      <x:c r="A148" s="17" t="str">
        <x:v>MTS-0147</x:v>
      </x:c>
      <x:c r="B148" s="17" t="str">
        <x:v>Form Delivery Checker</x:v>
      </x:c>
      <x:c r="C148" s="17" t="str">
        <x:v>WordPress Operations</x:v>
      </x:c>
      <x:c r="D148" s="17" t="str">
        <x:v>WordPress Plugin</x:v>
      </x:c>
      <x:c r="E148" s="17" t="str">
        <x:v>Site administrators</x:v>
      </x:c>
      <x:c r="F148" s="18" t="str">
        <x:v>Form Delivery Checker provides a focused wordpress operations workflow for site administrators.</x:v>
      </x:c>
      <x:c r="G148" s="18" t="str">
        <x:v>WordPress Audit, Security, Reports</x:v>
      </x:c>
      <x:c r="H148" s="17" t="str">
        <x:v>Annual Pro</x:v>
      </x:c>
      <x:c r="I148" s="17" t="str">
        <x:v>Medium</x:v>
      </x:c>
      <x:c r="J148" s="17" t="str">
        <x:v>New candidate</x:v>
      </x:c>
      <x:c r="K148" s="17" t="str">
        <x:v>Unreviewed</x:v>
      </x:c>
      <x:c r="L148" s="17"/>
      <x:c r="M148" s="17"/>
      <x:c r="N148" s="17"/>
      <x:c r="O148" s="17"/>
      <x:c r="P148" s="17"/>
      <x:c r="Q148" s="17" t="str">
        <x:f>IF(COUNT(L148:P148)&lt;5,"",ROUND((L148*25+M148*20+N148*20+O148*20+P148*15)/5,1))</x:f>
      </x:c>
      <x:c r="R148" s="18" t="str"/>
      <x:c r="S148" s="18" t="str"/>
      <x:c r="T148" s="17" t="str"/>
      <x:c r="U148" s="19"/>
    </x:row>
    <x:row r="149">
      <x:c r="A149" s="17" t="str">
        <x:v>MTS-0148</x:v>
      </x:c>
      <x:c r="B149" s="17" t="str">
        <x:v>Redirect Manager Pro</x:v>
      </x:c>
      <x:c r="C149" s="17" t="str">
        <x:v>WordPress Operations</x:v>
      </x:c>
      <x:c r="D149" s="17" t="str">
        <x:v>WordPress Plugin</x:v>
      </x:c>
      <x:c r="E149" s="17" t="str">
        <x:v>Site administrators</x:v>
      </x:c>
      <x:c r="F149" s="18" t="str">
        <x:v>Redirect Manager Pro provides a focused wordpress operations workflow for site administrators.</x:v>
      </x:c>
      <x:c r="G149" s="18" t="str">
        <x:v>WordPress Audit, Security, Reports</x:v>
      </x:c>
      <x:c r="H149" s="17" t="str">
        <x:v>Annual Pro</x:v>
      </x:c>
      <x:c r="I149" s="17" t="str">
        <x:v>Medium</x:v>
      </x:c>
      <x:c r="J149" s="17" t="str">
        <x:v>New candidate</x:v>
      </x:c>
      <x:c r="K149" s="17" t="str">
        <x:v>Unreviewed</x:v>
      </x:c>
      <x:c r="L149" s="17"/>
      <x:c r="M149" s="17"/>
      <x:c r="N149" s="17"/>
      <x:c r="O149" s="17"/>
      <x:c r="P149" s="17"/>
      <x:c r="Q149" s="17" t="str">
        <x:f>IF(COUNT(L149:P149)&lt;5,"",ROUND((L149*25+M149*20+N149*20+O149*20+P149*15)/5,1))</x:f>
      </x:c>
      <x:c r="R149" s="18" t="str"/>
      <x:c r="S149" s="18" t="str"/>
      <x:c r="T149" s="17" t="str"/>
      <x:c r="U149" s="19"/>
    </x:row>
    <x:row r="150">
      <x:c r="A150" s="17" t="str">
        <x:v>MTS-0149</x:v>
      </x:c>
      <x:c r="B150" s="17" t="str">
        <x:v>Orphan Page Finder</x:v>
      </x:c>
      <x:c r="C150" s="17" t="str">
        <x:v>WordPress Operations</x:v>
      </x:c>
      <x:c r="D150" s="17" t="str">
        <x:v>WordPress Plugin</x:v>
      </x:c>
      <x:c r="E150" s="17" t="str">
        <x:v>Site administrators</x:v>
      </x:c>
      <x:c r="F150" s="18" t="str">
        <x:v>Orphan Page Finder provides a focused wordpress operations workflow for site administrators.</x:v>
      </x:c>
      <x:c r="G150" s="18" t="str">
        <x:v>WordPress Audit, Security, Reports</x:v>
      </x:c>
      <x:c r="H150" s="17" t="str">
        <x:v>Annual Pro</x:v>
      </x:c>
      <x:c r="I150" s="17" t="str">
        <x:v>Medium</x:v>
      </x:c>
      <x:c r="J150" s="17" t="str">
        <x:v>New candidate</x:v>
      </x:c>
      <x:c r="K150" s="17" t="str">
        <x:v>Unreviewed</x:v>
      </x:c>
      <x:c r="L150" s="17"/>
      <x:c r="M150" s="17"/>
      <x:c r="N150" s="17"/>
      <x:c r="O150" s="17"/>
      <x:c r="P150" s="17"/>
      <x:c r="Q150" s="17" t="str">
        <x:f>IF(COUNT(L150:P150)&lt;5,"",ROUND((L150*25+M150*20+N150*20+O150*20+P150*15)/5,1))</x:f>
      </x:c>
      <x:c r="R150" s="18" t="str"/>
      <x:c r="S150" s="18" t="str"/>
      <x:c r="T150" s="17" t="str"/>
      <x:c r="U150" s="19"/>
    </x:row>
    <x:row r="151">
      <x:c r="A151" s="17" t="str">
        <x:v>MTS-0150</x:v>
      </x:c>
      <x:c r="B151" s="17" t="str">
        <x:v>Database Cleanup Planner</x:v>
      </x:c>
      <x:c r="C151" s="17" t="str">
        <x:v>WordPress Operations</x:v>
      </x:c>
      <x:c r="D151" s="17" t="str">
        <x:v>WordPress Plugin</x:v>
      </x:c>
      <x:c r="E151" s="17" t="str">
        <x:v>Site administrators</x:v>
      </x:c>
      <x:c r="F151" s="18" t="str">
        <x:v>Database Cleanup Planner provides a focused wordpress operations workflow for site administrators.</x:v>
      </x:c>
      <x:c r="G151" s="18" t="str">
        <x:v>WordPress Audit, Security, Reports</x:v>
      </x:c>
      <x:c r="H151" s="17" t="str">
        <x:v>Annual Pro</x:v>
      </x:c>
      <x:c r="I151" s="17" t="str">
        <x:v>Medium</x:v>
      </x:c>
      <x:c r="J151" s="17" t="str">
        <x:v>New candidate</x:v>
      </x:c>
      <x:c r="K151" s="17" t="str">
        <x:v>Unreviewed</x:v>
      </x:c>
      <x:c r="L151" s="17"/>
      <x:c r="M151" s="17"/>
      <x:c r="N151" s="17"/>
      <x:c r="O151" s="17"/>
      <x:c r="P151" s="17"/>
      <x:c r="Q151" s="17" t="str">
        <x:f>IF(COUNT(L151:P151)&lt;5,"",ROUND((L151*25+M151*20+N151*20+O151*20+P151*15)/5,1))</x:f>
      </x:c>
      <x:c r="R151" s="18" t="str"/>
      <x:c r="S151" s="18" t="str"/>
      <x:c r="T151" s="17" t="str"/>
      <x:c r="U151" s="19"/>
    </x:row>
    <x:row r="152">
      <x:c r="A152" s="17" t="str">
        <x:v>MTS-0151</x:v>
      </x:c>
      <x:c r="B152" s="17" t="str">
        <x:v>Scheduled Content Expiration</x:v>
      </x:c>
      <x:c r="C152" s="17" t="str">
        <x:v>WordPress Operations</x:v>
      </x:c>
      <x:c r="D152" s="17" t="str">
        <x:v>WordPress Plugin</x:v>
      </x:c>
      <x:c r="E152" s="17" t="str">
        <x:v>Site administrators</x:v>
      </x:c>
      <x:c r="F152" s="18" t="str">
        <x:v>Scheduled Content Expiration provides a focused wordpress operations workflow for site administrators.</x:v>
      </x:c>
      <x:c r="G152" s="18" t="str">
        <x:v>WordPress Audit, Security, Reports</x:v>
      </x:c>
      <x:c r="H152" s="17" t="str">
        <x:v>Annual Pro</x:v>
      </x:c>
      <x:c r="I152" s="17" t="str">
        <x:v>Medium</x:v>
      </x:c>
      <x:c r="J152" s="17" t="str">
        <x:v>New candidate</x:v>
      </x:c>
      <x:c r="K152" s="17" t="str">
        <x:v>Unreviewed</x:v>
      </x:c>
      <x:c r="L152" s="17"/>
      <x:c r="M152" s="17"/>
      <x:c r="N152" s="17"/>
      <x:c r="O152" s="17"/>
      <x:c r="P152" s="17"/>
      <x:c r="Q152" s="17" t="str">
        <x:f>IF(COUNT(L152:P152)&lt;5,"",ROUND((L152*25+M152*20+N152*20+O152*20+P152*15)/5,1))</x:f>
      </x:c>
      <x:c r="R152" s="18" t="str"/>
      <x:c r="S152" s="18" t="str"/>
      <x:c r="T152" s="17" t="str"/>
      <x:c r="U152" s="19"/>
    </x:row>
    <x:row r="153">
      <x:c r="A153" s="17" t="str">
        <x:v>MTS-0152</x:v>
      </x:c>
      <x:c r="B153" s="17" t="str">
        <x:v>Accessibility Task Tracker</x:v>
      </x:c>
      <x:c r="C153" s="17" t="str">
        <x:v>WordPress Operations</x:v>
      </x:c>
      <x:c r="D153" s="17" t="str">
        <x:v>WordPress Plugin</x:v>
      </x:c>
      <x:c r="E153" s="17" t="str">
        <x:v>Site administrators</x:v>
      </x:c>
      <x:c r="F153" s="18" t="str">
        <x:v>Accessibility Task Tracker provides a focused wordpress operations workflow for site administrators.</x:v>
      </x:c>
      <x:c r="G153" s="18" t="str">
        <x:v>WordPress Audit, Security, Reports</x:v>
      </x:c>
      <x:c r="H153" s="17" t="str">
        <x:v>Annual Pro</x:v>
      </x:c>
      <x:c r="I153" s="17" t="str">
        <x:v>Medium</x:v>
      </x:c>
      <x:c r="J153" s="17" t="str">
        <x:v>New candidate</x:v>
      </x:c>
      <x:c r="K153" s="17" t="str">
        <x:v>Unreviewed</x:v>
      </x:c>
      <x:c r="L153" s="17"/>
      <x:c r="M153" s="17"/>
      <x:c r="N153" s="17"/>
      <x:c r="O153" s="17"/>
      <x:c r="P153" s="17"/>
      <x:c r="Q153" s="17" t="str">
        <x:f>IF(COUNT(L153:P153)&lt;5,"",ROUND((L153*25+M153*20+N153*20+O153*20+P153*15)/5,1))</x:f>
      </x:c>
      <x:c r="R153" s="18" t="str"/>
      <x:c r="S153" s="18" t="str"/>
      <x:c r="T153" s="17" t="str"/>
      <x:c r="U153" s="19"/>
    </x:row>
    <x:row r="154">
      <x:c r="A154" s="17" t="str">
        <x:v>MTS-0153</x:v>
      </x:c>
      <x:c r="B154" s="17" t="str">
        <x:v>Legal Page Update Reminder</x:v>
      </x:c>
      <x:c r="C154" s="17" t="str">
        <x:v>WordPress Operations</x:v>
      </x:c>
      <x:c r="D154" s="17" t="str">
        <x:v>WordPress Plugin</x:v>
      </x:c>
      <x:c r="E154" s="17" t="str">
        <x:v>Site administrators</x:v>
      </x:c>
      <x:c r="F154" s="18" t="str">
        <x:v>Legal Page Update Reminder provides a focused wordpress operations workflow for site administrators.</x:v>
      </x:c>
      <x:c r="G154" s="18" t="str">
        <x:v>WordPress Audit, Security, Reports</x:v>
      </x:c>
      <x:c r="H154" s="17" t="str">
        <x:v>Annual Pro</x:v>
      </x:c>
      <x:c r="I154" s="17" t="str">
        <x:v>Medium</x:v>
      </x:c>
      <x:c r="J154" s="17" t="str">
        <x:v>New candidate</x:v>
      </x:c>
      <x:c r="K154" s="17" t="str">
        <x:v>Unreviewed</x:v>
      </x:c>
      <x:c r="L154" s="17"/>
      <x:c r="M154" s="17"/>
      <x:c r="N154" s="17"/>
      <x:c r="O154" s="17"/>
      <x:c r="P154" s="17"/>
      <x:c r="Q154" s="17" t="str">
        <x:f>IF(COUNT(L154:P154)&lt;5,"",ROUND((L154*25+M154*20+N154*20+O154*20+P154*15)/5,1))</x:f>
      </x:c>
      <x:c r="R154" s="18" t="str"/>
      <x:c r="S154" s="18" t="str"/>
      <x:c r="T154" s="17" t="str"/>
      <x:c r="U154" s="19"/>
    </x:row>
    <x:row r="155">
      <x:c r="A155" s="17" t="str">
        <x:v>MTS-0154</x:v>
      </x:c>
      <x:c r="B155" s="17" t="str">
        <x:v>Client Maintenance Portal</x:v>
      </x:c>
      <x:c r="C155" s="17" t="str">
        <x:v>WordPress Operations</x:v>
      </x:c>
      <x:c r="D155" s="17" t="str">
        <x:v>WordPress Plugin</x:v>
      </x:c>
      <x:c r="E155" s="17" t="str">
        <x:v>Site administrators</x:v>
      </x:c>
      <x:c r="F155" s="18" t="str">
        <x:v>Client Maintenance Portal provides a focused wordpress operations workflow for site administrators.</x:v>
      </x:c>
      <x:c r="G155" s="18" t="str">
        <x:v>WordPress Audit, Security, Reports</x:v>
      </x:c>
      <x:c r="H155" s="17" t="str">
        <x:v>Annual Pro</x:v>
      </x:c>
      <x:c r="I155" s="17" t="str">
        <x:v>Medium</x:v>
      </x:c>
      <x:c r="J155" s="17" t="str">
        <x:v>New candidate</x:v>
      </x:c>
      <x:c r="K155" s="17" t="str">
        <x:v>Unreviewed</x:v>
      </x:c>
      <x:c r="L155" s="17"/>
      <x:c r="M155" s="17"/>
      <x:c r="N155" s="17"/>
      <x:c r="O155" s="17"/>
      <x:c r="P155" s="17"/>
      <x:c r="Q155" s="17" t="str">
        <x:f>IF(COUNT(L155:P155)&lt;5,"",ROUND((L155*25+M155*20+N155*20+O155*20+P155*15)/5,1))</x:f>
      </x:c>
      <x:c r="R155" s="18" t="str"/>
      <x:c r="S155" s="18" t="str"/>
      <x:c r="T155" s="17" t="str"/>
      <x:c r="U155" s="19"/>
    </x:row>
    <x:row r="156">
      <x:c r="A156" s="17" t="str">
        <x:v>MTS-0155</x:v>
      </x:c>
      <x:c r="B156" s="17" t="str">
        <x:v>Uptime Digest Plugin</x:v>
      </x:c>
      <x:c r="C156" s="17" t="str">
        <x:v>WordPress Operations</x:v>
      </x:c>
      <x:c r="D156" s="17" t="str">
        <x:v>WordPress Plugin</x:v>
      </x:c>
      <x:c r="E156" s="17" t="str">
        <x:v>Site administrators</x:v>
      </x:c>
      <x:c r="F156" s="18" t="str">
        <x:v>Uptime Digest Plugin provides a focused wordpress operations workflow for site administrators.</x:v>
      </x:c>
      <x:c r="G156" s="18" t="str">
        <x:v>WordPress Audit, Security, Reports</x:v>
      </x:c>
      <x:c r="H156" s="17" t="str">
        <x:v>Annual Pro</x:v>
      </x:c>
      <x:c r="I156" s="17" t="str">
        <x:v>Medium</x:v>
      </x:c>
      <x:c r="J156" s="17" t="str">
        <x:v>New candidate</x:v>
      </x:c>
      <x:c r="K156" s="17" t="str">
        <x:v>Unreviewed</x:v>
      </x:c>
      <x:c r="L156" s="17"/>
      <x:c r="M156" s="17"/>
      <x:c r="N156" s="17"/>
      <x:c r="O156" s="17"/>
      <x:c r="P156" s="17"/>
      <x:c r="Q156" s="17" t="str">
        <x:f>IF(COUNT(L156:P156)&lt;5,"",ROUND((L156*25+M156*20+N156*20+O156*20+P156*15)/5,1))</x:f>
      </x:c>
      <x:c r="R156" s="18" t="str"/>
      <x:c r="S156" s="18" t="str"/>
      <x:c r="T156" s="17" t="str"/>
      <x:c r="U156" s="19"/>
    </x:row>
    <x:row r="157">
      <x:c r="A157" s="17" t="str">
        <x:v>MTS-0156</x:v>
      </x:c>
      <x:c r="B157" s="17" t="str">
        <x:v>Plugin License Inventory</x:v>
      </x:c>
      <x:c r="C157" s="17" t="str">
        <x:v>WordPress Operations</x:v>
      </x:c>
      <x:c r="D157" s="17" t="str">
        <x:v>WordPress Plugin</x:v>
      </x:c>
      <x:c r="E157" s="17" t="str">
        <x:v>Site administrators</x:v>
      </x:c>
      <x:c r="F157" s="18" t="str">
        <x:v>Plugin License Inventory provides a focused wordpress operations workflow for site administrators.</x:v>
      </x:c>
      <x:c r="G157" s="18" t="str">
        <x:v>WordPress Audit, Security, Reports</x:v>
      </x:c>
      <x:c r="H157" s="17" t="str">
        <x:v>Annual Pro</x:v>
      </x:c>
      <x:c r="I157" s="17" t="str">
        <x:v>Medium</x:v>
      </x:c>
      <x:c r="J157" s="17" t="str">
        <x:v>New candidate</x:v>
      </x:c>
      <x:c r="K157" s="17" t="str">
        <x:v>Unreviewed</x:v>
      </x:c>
      <x:c r="L157" s="17"/>
      <x:c r="M157" s="17"/>
      <x:c r="N157" s="17"/>
      <x:c r="O157" s="17"/>
      <x:c r="P157" s="17"/>
      <x:c r="Q157" s="17" t="str">
        <x:f>IF(COUNT(L157:P157)&lt;5,"",ROUND((L157*25+M157*20+N157*20+O157*20+P157*15)/5,1))</x:f>
      </x:c>
      <x:c r="R157" s="18" t="str"/>
      <x:c r="S157" s="18" t="str"/>
      <x:c r="T157" s="17" t="str"/>
      <x:c r="U157" s="19"/>
    </x:row>
    <x:row r="158">
      <x:c r="A158" s="17" t="str">
        <x:v>MTS-0157</x:v>
      </x:c>
      <x:c r="B158" s="17" t="str">
        <x:v>Client Report Portal</x:v>
      </x:c>
      <x:c r="C158" s="17" t="str">
        <x:v>Business SaaS</x:v>
      </x:c>
      <x:c r="D158" s="17" t="str">
        <x:v>Web SaaS</x:v>
      </x:c>
      <x:c r="E158" s="17" t="str">
        <x:v>Small businesses</x:v>
      </x:c>
      <x:c r="F158" s="18" t="str">
        <x:v>Client Report Portal provides a focused business saas workflow for small businesses.</x:v>
      </x:c>
      <x:c r="G158" s="18" t="str">
        <x:v>Accounts, Workflow, Reports, Notifications</x:v>
      </x:c>
      <x:c r="H158" s="17" t="str">
        <x:v>Subscription</x:v>
      </x:c>
      <x:c r="I158" s="17" t="str">
        <x:v>Large</x:v>
      </x:c>
      <x:c r="J158" s="17" t="str">
        <x:v>New candidate</x:v>
      </x:c>
      <x:c r="K158" s="17" t="str">
        <x:v>Unreviewed</x:v>
      </x:c>
      <x:c r="L158" s="17"/>
      <x:c r="M158" s="17"/>
      <x:c r="N158" s="17"/>
      <x:c r="O158" s="17"/>
      <x:c r="P158" s="17"/>
      <x:c r="Q158" s="17" t="str">
        <x:f>IF(COUNT(L158:P158)&lt;5,"",ROUND((L158*25+M158*20+N158*20+O158*20+P158*15)/5,1))</x:f>
      </x:c>
      <x:c r="R158" s="18" t="str"/>
      <x:c r="S158" s="18" t="str"/>
      <x:c r="T158" s="17" t="str"/>
      <x:c r="U158" s="19"/>
    </x:row>
    <x:row r="159">
      <x:c r="A159" s="17" t="str">
        <x:v>MTS-0158</x:v>
      </x:c>
      <x:c r="B159" s="17" t="str">
        <x:v>Inspection Report Portal</x:v>
      </x:c>
      <x:c r="C159" s="17" t="str">
        <x:v>Business SaaS</x:v>
      </x:c>
      <x:c r="D159" s="17" t="str">
        <x:v>Web SaaS</x:v>
      </x:c>
      <x:c r="E159" s="17" t="str">
        <x:v>Small businesses</x:v>
      </x:c>
      <x:c r="F159" s="18" t="str">
        <x:v>Inspection Report Portal provides a focused business saas workflow for small businesses.</x:v>
      </x:c>
      <x:c r="G159" s="18" t="str">
        <x:v>Accounts, Workflow, Reports, Notifications</x:v>
      </x:c>
      <x:c r="H159" s="17" t="str">
        <x:v>Subscription</x:v>
      </x:c>
      <x:c r="I159" s="17" t="str">
        <x:v>Large</x:v>
      </x:c>
      <x:c r="J159" s="17" t="str">
        <x:v>New candidate</x:v>
      </x:c>
      <x:c r="K159" s="17" t="str">
        <x:v>Unreviewed</x:v>
      </x:c>
      <x:c r="L159" s="17"/>
      <x:c r="M159" s="17"/>
      <x:c r="N159" s="17"/>
      <x:c r="O159" s="17"/>
      <x:c r="P159" s="17"/>
      <x:c r="Q159" s="17" t="str">
        <x:f>IF(COUNT(L159:P159)&lt;5,"",ROUND((L159*25+M159*20+N159*20+O159*20+P159*15)/5,1))</x:f>
      </x:c>
      <x:c r="R159" s="18" t="str"/>
      <x:c r="S159" s="18" t="str"/>
      <x:c r="T159" s="17" t="str"/>
      <x:c r="U159" s="19"/>
    </x:row>
    <x:row r="160">
      <x:c r="A160" s="17" t="str">
        <x:v>MTS-0159</x:v>
      </x:c>
      <x:c r="B160" s="17" t="str">
        <x:v>COI Expiration Tracker</x:v>
      </x:c>
      <x:c r="C160" s="17" t="str">
        <x:v>Business SaaS</x:v>
      </x:c>
      <x:c r="D160" s="17" t="str">
        <x:v>Web SaaS</x:v>
      </x:c>
      <x:c r="E160" s="17" t="str">
        <x:v>Small businesses</x:v>
      </x:c>
      <x:c r="F160" s="18" t="str">
        <x:v>COI Expiration Tracker provides a focused business saas workflow for small businesses.</x:v>
      </x:c>
      <x:c r="G160" s="18" t="str">
        <x:v>Accounts, Workflow, Reports, Notifications</x:v>
      </x:c>
      <x:c r="H160" s="17" t="str">
        <x:v>Subscription</x:v>
      </x:c>
      <x:c r="I160" s="17" t="str">
        <x:v>Large</x:v>
      </x:c>
      <x:c r="J160" s="17" t="str">
        <x:v>New candidate</x:v>
      </x:c>
      <x:c r="K160" s="17" t="str">
        <x:v>Unreviewed</x:v>
      </x:c>
      <x:c r="L160" s="17"/>
      <x:c r="M160" s="17"/>
      <x:c r="N160" s="17"/>
      <x:c r="O160" s="17"/>
      <x:c r="P160" s="17"/>
      <x:c r="Q160" s="17" t="str">
        <x:f>IF(COUNT(L160:P160)&lt;5,"",ROUND((L160*25+M160*20+N160*20+O160*20+P160*15)/5,1))</x:f>
      </x:c>
      <x:c r="R160" s="18" t="str"/>
      <x:c r="S160" s="18" t="str"/>
      <x:c r="T160" s="17" t="str"/>
      <x:c r="U160" s="19"/>
    </x:row>
    <x:row r="161">
      <x:c r="A161" s="17" t="str">
        <x:v>MTS-0160</x:v>
      </x:c>
      <x:c r="B161" s="17" t="str">
        <x:v>Vendor Credential Tracker</x:v>
      </x:c>
      <x:c r="C161" s="17" t="str">
        <x:v>Business SaaS</x:v>
      </x:c>
      <x:c r="D161" s="17" t="str">
        <x:v>Web SaaS</x:v>
      </x:c>
      <x:c r="E161" s="17" t="str">
        <x:v>Small businesses</x:v>
      </x:c>
      <x:c r="F161" s="18" t="str">
        <x:v>Vendor Credential Tracker provides a focused business saas workflow for small businesses.</x:v>
      </x:c>
      <x:c r="G161" s="18" t="str">
        <x:v>Accounts, Workflow, Reports, Notifications</x:v>
      </x:c>
      <x:c r="H161" s="17" t="str">
        <x:v>Subscription</x:v>
      </x:c>
      <x:c r="I161" s="17" t="str">
        <x:v>Large</x:v>
      </x:c>
      <x:c r="J161" s="17" t="str">
        <x:v>New candidate</x:v>
      </x:c>
      <x:c r="K161" s="17" t="str">
        <x:v>Unreviewed</x:v>
      </x:c>
      <x:c r="L161" s="17"/>
      <x:c r="M161" s="17"/>
      <x:c r="N161" s="17"/>
      <x:c r="O161" s="17"/>
      <x:c r="P161" s="17"/>
      <x:c r="Q161" s="17" t="str">
        <x:f>IF(COUNT(L161:P161)&lt;5,"",ROUND((L161*25+M161*20+N161*20+O161*20+P161*15)/5,1))</x:f>
      </x:c>
      <x:c r="R161" s="18" t="str"/>
      <x:c r="S161" s="18" t="str"/>
      <x:c r="T161" s="17" t="str"/>
      <x:c r="U161" s="19"/>
    </x:row>
    <x:row r="162">
      <x:c r="A162" s="17" t="str">
        <x:v>MTS-0161</x:v>
      </x:c>
      <x:c r="B162" s="17" t="str">
        <x:v>Multi-Location Maintenance</x:v>
      </x:c>
      <x:c r="C162" s="17" t="str">
        <x:v>Business SaaS</x:v>
      </x:c>
      <x:c r="D162" s="17" t="str">
        <x:v>Web SaaS</x:v>
      </x:c>
      <x:c r="E162" s="17" t="str">
        <x:v>Small businesses</x:v>
      </x:c>
      <x:c r="F162" s="18" t="str">
        <x:v>Multi-Location Maintenance provides a focused business saas workflow for small businesses.</x:v>
      </x:c>
      <x:c r="G162" s="18" t="str">
        <x:v>Accounts, Workflow, Reports, Notifications</x:v>
      </x:c>
      <x:c r="H162" s="17" t="str">
        <x:v>Subscription</x:v>
      </x:c>
      <x:c r="I162" s="17" t="str">
        <x:v>Large</x:v>
      </x:c>
      <x:c r="J162" s="17" t="str">
        <x:v>New candidate</x:v>
      </x:c>
      <x:c r="K162" s="17" t="str">
        <x:v>Unreviewed</x:v>
      </x:c>
      <x:c r="L162" s="17"/>
      <x:c r="M162" s="17"/>
      <x:c r="N162" s="17"/>
      <x:c r="O162" s="17"/>
      <x:c r="P162" s="17"/>
      <x:c r="Q162" s="17" t="str">
        <x:f>IF(COUNT(L162:P162)&lt;5,"",ROUND((L162*25+M162*20+N162*20+O162*20+P162*15)/5,1))</x:f>
      </x:c>
      <x:c r="R162" s="18" t="str"/>
      <x:c r="S162" s="18" t="str"/>
      <x:c r="T162" s="17" t="str"/>
      <x:c r="U162" s="19"/>
    </x:row>
    <x:row r="163">
      <x:c r="A163" s="17" t="str">
        <x:v>MTS-0162</x:v>
      </x:c>
      <x:c r="B163" s="17" t="str">
        <x:v>Team Checklist Manager</x:v>
      </x:c>
      <x:c r="C163" s="17" t="str">
        <x:v>Business SaaS</x:v>
      </x:c>
      <x:c r="D163" s="17" t="str">
        <x:v>Web SaaS</x:v>
      </x:c>
      <x:c r="E163" s="17" t="str">
        <x:v>Small businesses</x:v>
      </x:c>
      <x:c r="F163" s="18" t="str">
        <x:v>Team Checklist Manager provides a focused business saas workflow for small businesses.</x:v>
      </x:c>
      <x:c r="G163" s="18" t="str">
        <x:v>Accounts, Workflow, Reports, Notifications</x:v>
      </x:c>
      <x:c r="H163" s="17" t="str">
        <x:v>Subscription</x:v>
      </x:c>
      <x:c r="I163" s="17" t="str">
        <x:v>Large</x:v>
      </x:c>
      <x:c r="J163" s="17" t="str">
        <x:v>New candidate</x:v>
      </x:c>
      <x:c r="K163" s="17" t="str">
        <x:v>Unreviewed</x:v>
      </x:c>
      <x:c r="L163" s="17"/>
      <x:c r="M163" s="17"/>
      <x:c r="N163" s="17"/>
      <x:c r="O163" s="17"/>
      <x:c r="P163" s="17"/>
      <x:c r="Q163" s="17" t="str">
        <x:f>IF(COUNT(L163:P163)&lt;5,"",ROUND((L163*25+M163*20+N163*20+O163*20+P163*15)/5,1))</x:f>
      </x:c>
      <x:c r="R163" s="18" t="str"/>
      <x:c r="S163" s="18" t="str"/>
      <x:c r="T163" s="17" t="str"/>
      <x:c r="U163" s="19"/>
    </x:row>
    <x:row r="164">
      <x:c r="A164" s="17" t="str">
        <x:v>MTS-0163</x:v>
      </x:c>
      <x:c r="B164" s="17" t="str">
        <x:v>Business Asset Register</x:v>
      </x:c>
      <x:c r="C164" s="17" t="str">
        <x:v>Business SaaS</x:v>
      </x:c>
      <x:c r="D164" s="17" t="str">
        <x:v>Web SaaS</x:v>
      </x:c>
      <x:c r="E164" s="17" t="str">
        <x:v>Small businesses</x:v>
      </x:c>
      <x:c r="F164" s="18" t="str">
        <x:v>Business Asset Register provides a focused business saas workflow for small businesses.</x:v>
      </x:c>
      <x:c r="G164" s="18" t="str">
        <x:v>Accounts, Workflow, Reports, Notifications</x:v>
      </x:c>
      <x:c r="H164" s="17" t="str">
        <x:v>Subscription</x:v>
      </x:c>
      <x:c r="I164" s="17" t="str">
        <x:v>Large</x:v>
      </x:c>
      <x:c r="J164" s="17" t="str">
        <x:v>New candidate</x:v>
      </x:c>
      <x:c r="K164" s="17" t="str">
        <x:v>Unreviewed</x:v>
      </x:c>
      <x:c r="L164" s="17"/>
      <x:c r="M164" s="17"/>
      <x:c r="N164" s="17"/>
      <x:c r="O164" s="17"/>
      <x:c r="P164" s="17"/>
      <x:c r="Q164" s="17" t="str">
        <x:f>IF(COUNT(L164:P164)&lt;5,"",ROUND((L164*25+M164*20+N164*20+O164*20+P164*15)/5,1))</x:f>
      </x:c>
      <x:c r="R164" s="18" t="str"/>
      <x:c r="S164" s="18" t="str"/>
      <x:c r="T164" s="17" t="str"/>
      <x:c r="U164" s="19"/>
    </x:row>
    <x:row r="165">
      <x:c r="A165" s="17" t="str">
        <x:v>MTS-0164</x:v>
      </x:c>
      <x:c r="B165" s="17" t="str">
        <x:v>Customer Feedback Board</x:v>
      </x:c>
      <x:c r="C165" s="17" t="str">
        <x:v>Business SaaS</x:v>
      </x:c>
      <x:c r="D165" s="17" t="str">
        <x:v>Web SaaS</x:v>
      </x:c>
      <x:c r="E165" s="17" t="str">
        <x:v>Small businesses</x:v>
      </x:c>
      <x:c r="F165" s="18" t="str">
        <x:v>Customer Feedback Board provides a focused business saas workflow for small businesses.</x:v>
      </x:c>
      <x:c r="G165" s="18" t="str">
        <x:v>Accounts, Workflow, Reports, Notifications</x:v>
      </x:c>
      <x:c r="H165" s="17" t="str">
        <x:v>Subscription</x:v>
      </x:c>
      <x:c r="I165" s="17" t="str">
        <x:v>Large</x:v>
      </x:c>
      <x:c r="J165" s="17" t="str">
        <x:v>New candidate</x:v>
      </x:c>
      <x:c r="K165" s="17" t="str">
        <x:v>Unreviewed</x:v>
      </x:c>
      <x:c r="L165" s="17"/>
      <x:c r="M165" s="17"/>
      <x:c r="N165" s="17"/>
      <x:c r="O165" s="17"/>
      <x:c r="P165" s="17"/>
      <x:c r="Q165" s="17" t="str">
        <x:f>IF(COUNT(L165:P165)&lt;5,"",ROUND((L165*25+M165*20+N165*20+O165*20+P165*15)/5,1))</x:f>
      </x:c>
      <x:c r="R165" s="18" t="str"/>
      <x:c r="S165" s="18" t="str"/>
      <x:c r="T165" s="17" t="str"/>
      <x:c r="U165" s="19"/>
    </x:row>
    <x:row r="166">
      <x:c r="A166" s="17" t="str">
        <x:v>MTS-0165</x:v>
      </x:c>
      <x:c r="B166" s="17" t="str">
        <x:v>Simple Service CRM</x:v>
      </x:c>
      <x:c r="C166" s="17" t="str">
        <x:v>Business SaaS</x:v>
      </x:c>
      <x:c r="D166" s="17" t="str">
        <x:v>Web SaaS</x:v>
      </x:c>
      <x:c r="E166" s="17" t="str">
        <x:v>Small businesses</x:v>
      </x:c>
      <x:c r="F166" s="18" t="str">
        <x:v>Simple Service CRM provides a focused business saas workflow for small businesses.</x:v>
      </x:c>
      <x:c r="G166" s="18" t="str">
        <x:v>Accounts, Workflow, Reports, Notifications</x:v>
      </x:c>
      <x:c r="H166" s="17" t="str">
        <x:v>Subscription</x:v>
      </x:c>
      <x:c r="I166" s="17" t="str">
        <x:v>Large</x:v>
      </x:c>
      <x:c r="J166" s="17" t="str">
        <x:v>New candidate</x:v>
      </x:c>
      <x:c r="K166" s="17" t="str">
        <x:v>Unreviewed</x:v>
      </x:c>
      <x:c r="L166" s="17"/>
      <x:c r="M166" s="17"/>
      <x:c r="N166" s="17"/>
      <x:c r="O166" s="17"/>
      <x:c r="P166" s="17"/>
      <x:c r="Q166" s="17" t="str">
        <x:f>IF(COUNT(L166:P166)&lt;5,"",ROUND((L166*25+M166*20+N166*20+O166*20+P166*15)/5,1))</x:f>
      </x:c>
      <x:c r="R166" s="18" t="str"/>
      <x:c r="S166" s="18" t="str"/>
      <x:c r="T166" s="17" t="str"/>
      <x:c r="U166" s="19"/>
    </x:row>
    <x:row r="167">
      <x:c r="A167" s="17" t="str">
        <x:v>MTS-0166</x:v>
      </x:c>
      <x:c r="B167" s="17" t="str">
        <x:v>Quote Builder Portal</x:v>
      </x:c>
      <x:c r="C167" s="17" t="str">
        <x:v>Business SaaS</x:v>
      </x:c>
      <x:c r="D167" s="17" t="str">
        <x:v>Web SaaS</x:v>
      </x:c>
      <x:c r="E167" s="17" t="str">
        <x:v>Small businesses</x:v>
      </x:c>
      <x:c r="F167" s="18" t="str">
        <x:v>Quote Builder Portal provides a focused business saas workflow for small businesses.</x:v>
      </x:c>
      <x:c r="G167" s="18" t="str">
        <x:v>Accounts, Workflow, Reports, Notifications</x:v>
      </x:c>
      <x:c r="H167" s="17" t="str">
        <x:v>Subscription</x:v>
      </x:c>
      <x:c r="I167" s="17" t="str">
        <x:v>Large</x:v>
      </x:c>
      <x:c r="J167" s="17" t="str">
        <x:v>New candidate</x:v>
      </x:c>
      <x:c r="K167" s="17" t="str">
        <x:v>Unreviewed</x:v>
      </x:c>
      <x:c r="L167" s="17"/>
      <x:c r="M167" s="17"/>
      <x:c r="N167" s="17"/>
      <x:c r="O167" s="17"/>
      <x:c r="P167" s="17"/>
      <x:c r="Q167" s="17" t="str">
        <x:f>IF(COUNT(L167:P167)&lt;5,"",ROUND((L167*25+M167*20+N167*20+O167*20+P167*15)/5,1))</x:f>
      </x:c>
      <x:c r="R167" s="18" t="str"/>
      <x:c r="S167" s="18" t="str"/>
      <x:c r="T167" s="17" t="str"/>
      <x:c r="U167" s="19"/>
    </x:row>
    <x:row r="168">
      <x:c r="A168" s="17" t="str">
        <x:v>MTS-0167</x:v>
      </x:c>
      <x:c r="B168" s="17" t="str">
        <x:v>Recurring Operations Tracker</x:v>
      </x:c>
      <x:c r="C168" s="17" t="str">
        <x:v>Business SaaS</x:v>
      </x:c>
      <x:c r="D168" s="17" t="str">
        <x:v>Web SaaS</x:v>
      </x:c>
      <x:c r="E168" s="17" t="str">
        <x:v>Small businesses</x:v>
      </x:c>
      <x:c r="F168" s="18" t="str">
        <x:v>Recurring Operations Tracker provides a focused business saas workflow for small businesses.</x:v>
      </x:c>
      <x:c r="G168" s="18" t="str">
        <x:v>Accounts, Workflow, Reports, Notifications</x:v>
      </x:c>
      <x:c r="H168" s="17" t="str">
        <x:v>Subscription</x:v>
      </x:c>
      <x:c r="I168" s="17" t="str">
        <x:v>Large</x:v>
      </x:c>
      <x:c r="J168" s="17" t="str">
        <x:v>New candidate</x:v>
      </x:c>
      <x:c r="K168" s="17" t="str">
        <x:v>Unreviewed</x:v>
      </x:c>
      <x:c r="L168" s="17"/>
      <x:c r="M168" s="17"/>
      <x:c r="N168" s="17"/>
      <x:c r="O168" s="17"/>
      <x:c r="P168" s="17"/>
      <x:c r="Q168" s="17" t="str">
        <x:f>IF(COUNT(L168:P168)&lt;5,"",ROUND((L168*25+M168*20+N168*20+O168*20+P168*15)/5,1))</x:f>
      </x:c>
      <x:c r="R168" s="18" t="str"/>
      <x:c r="S168" s="18" t="str"/>
      <x:c r="T168" s="17" t="str"/>
      <x:c r="U168" s="19"/>
    </x:row>
    <x:row r="169">
      <x:c r="A169" s="17" t="str">
        <x:v>MTS-0168</x:v>
      </x:c>
      <x:c r="B169" s="17" t="str">
        <x:v>Document Renewal Manager</x:v>
      </x:c>
      <x:c r="C169" s="17" t="str">
        <x:v>Business SaaS</x:v>
      </x:c>
      <x:c r="D169" s="17" t="str">
        <x:v>Web SaaS</x:v>
      </x:c>
      <x:c r="E169" s="17" t="str">
        <x:v>Small businesses</x:v>
      </x:c>
      <x:c r="F169" s="18" t="str">
        <x:v>Document Renewal Manager provides a focused business saas workflow for small businesses.</x:v>
      </x:c>
      <x:c r="G169" s="18" t="str">
        <x:v>Accounts, Workflow, Reports, Notifications</x:v>
      </x:c>
      <x:c r="H169" s="17" t="str">
        <x:v>Subscription</x:v>
      </x:c>
      <x:c r="I169" s="17" t="str">
        <x:v>Large</x:v>
      </x:c>
      <x:c r="J169" s="17" t="str">
        <x:v>New candidate</x:v>
      </x:c>
      <x:c r="K169" s="17" t="str">
        <x:v>Unreviewed</x:v>
      </x:c>
      <x:c r="L169" s="17"/>
      <x:c r="M169" s="17"/>
      <x:c r="N169" s="17"/>
      <x:c r="O169" s="17"/>
      <x:c r="P169" s="17"/>
      <x:c r="Q169" s="17" t="str">
        <x:f>IF(COUNT(L169:P169)&lt;5,"",ROUND((L169*25+M169*20+N169*20+O169*20+P169*15)/5,1))</x:f>
      </x:c>
      <x:c r="R169" s="18" t="str"/>
      <x:c r="S169" s="18" t="str"/>
      <x:c r="T169" s="17" t="str"/>
      <x:c r="U169" s="19"/>
    </x:row>
    <x:row r="170">
      <x:c r="A170" s="17" t="str">
        <x:v>MTS-0169</x:v>
      </x:c>
      <x:c r="B170" s="17" t="str">
        <x:v>Maxxed Remote</x:v>
      </x:c>
      <x:c r="C170" s="17" t="str">
        <x:v>Phone Utilities</x:v>
      </x:c>
      <x:c r="D170" s="17" t="str">
        <x:v>Mobile App</x:v>
      </x:c>
      <x:c r="E170" s="17" t="str">
        <x:v>General consumers</x:v>
      </x:c>
      <x:c r="F170" s="18" t="str">
        <x:v>Maxxed Remote provides a focused phone utilities workflow for general consumers.</x:v>
      </x:c>
      <x:c r="G170" s="18" t="str">
        <x:v>Sensors, Scanner, Offline Tools</x:v>
      </x:c>
      <x:c r="H170" s="17" t="str">
        <x:v>Ads + Pro</x:v>
      </x:c>
      <x:c r="I170" s="17" t="str">
        <x:v>Small</x:v>
      </x:c>
      <x:c r="J170" s="17" t="str">
        <x:v>Existing discussion/project</x:v>
      </x:c>
      <x:c r="K170" s="17" t="str">
        <x:v>Unreviewed</x:v>
      </x:c>
      <x:c r="L170" s="17"/>
      <x:c r="M170" s="17"/>
      <x:c r="N170" s="17"/>
      <x:c r="O170" s="17"/>
      <x:c r="P170" s="17"/>
      <x:c r="Q170" s="17" t="str">
        <x:f>IF(COUNT(L170:P170)&lt;5,"",ROUND((L170*25+M170*20+N170*20+O170*20+P170*15)/5,1))</x:f>
      </x:c>
      <x:c r="R170" s="18" t="str"/>
      <x:c r="S170" s="18" t="str"/>
      <x:c r="T170" s="17" t="str"/>
      <x:c r="U170" s="19"/>
    </x:row>
    <x:row r="171">
      <x:c r="A171" s="17" t="str">
        <x:v>MTS-0170</x:v>
      </x:c>
      <x:c r="B171" s="17" t="str">
        <x:v>Digital Level Maxxed</x:v>
      </x:c>
      <x:c r="C171" s="17" t="str">
        <x:v>Phone Utilities</x:v>
      </x:c>
      <x:c r="D171" s="17" t="str">
        <x:v>Mobile App</x:v>
      </x:c>
      <x:c r="E171" s="17" t="str">
        <x:v>General consumers</x:v>
      </x:c>
      <x:c r="F171" s="18" t="str">
        <x:v>Digital Level Maxxed provides a focused phone utilities workflow for general consumers.</x:v>
      </x:c>
      <x:c r="G171" s="18" t="str">
        <x:v>Sensors, Scanner, Offline Tools</x:v>
      </x:c>
      <x:c r="H171" s="17" t="str">
        <x:v>Ads + Pro</x:v>
      </x:c>
      <x:c r="I171" s="17" t="str">
        <x:v>Small</x:v>
      </x:c>
      <x:c r="J171" s="17" t="str">
        <x:v>New candidate</x:v>
      </x:c>
      <x:c r="K171" s="17" t="str">
        <x:v>Unreviewed</x:v>
      </x:c>
      <x:c r="L171" s="17"/>
      <x:c r="M171" s="17"/>
      <x:c r="N171" s="17"/>
      <x:c r="O171" s="17"/>
      <x:c r="P171" s="17"/>
      <x:c r="Q171" s="17" t="str">
        <x:f>IF(COUNT(L171:P171)&lt;5,"",ROUND((L171*25+M171*20+N171*20+O171*20+P171*15)/5,1))</x:f>
      </x:c>
      <x:c r="R171" s="18" t="str"/>
      <x:c r="S171" s="18" t="str"/>
      <x:c r="T171" s="17" t="str"/>
      <x:c r="U171" s="19"/>
    </x:row>
    <x:row r="172">
      <x:c r="A172" s="17" t="str">
        <x:v>MTS-0171</x:v>
      </x:c>
      <x:c r="B172" s="17" t="str">
        <x:v>Sound Level Log</x:v>
      </x:c>
      <x:c r="C172" s="17" t="str">
        <x:v>Phone Utilities</x:v>
      </x:c>
      <x:c r="D172" s="17" t="str">
        <x:v>Mobile App</x:v>
      </x:c>
      <x:c r="E172" s="17" t="str">
        <x:v>General consumers</x:v>
      </x:c>
      <x:c r="F172" s="18" t="str">
        <x:v>Sound Level Log provides a focused phone utilities workflow for general consumers.</x:v>
      </x:c>
      <x:c r="G172" s="18" t="str">
        <x:v>Sensors, Scanner, Offline Tools</x:v>
      </x:c>
      <x:c r="H172" s="17" t="str">
        <x:v>Ads + Pro</x:v>
      </x:c>
      <x:c r="I172" s="17" t="str">
        <x:v>Small</x:v>
      </x:c>
      <x:c r="J172" s="17" t="str">
        <x:v>New candidate</x:v>
      </x:c>
      <x:c r="K172" s="17" t="str">
        <x:v>Unreviewed</x:v>
      </x:c>
      <x:c r="L172" s="17"/>
      <x:c r="M172" s="17"/>
      <x:c r="N172" s="17"/>
      <x:c r="O172" s="17"/>
      <x:c r="P172" s="17"/>
      <x:c r="Q172" s="17" t="str">
        <x:f>IF(COUNT(L172:P172)&lt;5,"",ROUND((L172*25+M172*20+N172*20+O172*20+P172*15)/5,1))</x:f>
      </x:c>
      <x:c r="R172" s="18" t="str"/>
      <x:c r="S172" s="18" t="str"/>
      <x:c r="T172" s="17" t="str"/>
      <x:c r="U172" s="19"/>
    </x:row>
    <x:row r="173">
      <x:c r="A173" s="17" t="str">
        <x:v>MTS-0172</x:v>
      </x:c>
      <x:c r="B173" s="17" t="str">
        <x:v>Vibration Monitor</x:v>
      </x:c>
      <x:c r="C173" s="17" t="str">
        <x:v>Phone Utilities</x:v>
      </x:c>
      <x:c r="D173" s="17" t="str">
        <x:v>Mobile App</x:v>
      </x:c>
      <x:c r="E173" s="17" t="str">
        <x:v>General consumers</x:v>
      </x:c>
      <x:c r="F173" s="18" t="str">
        <x:v>Vibration Monitor provides a focused phone utilities workflow for general consumers.</x:v>
      </x:c>
      <x:c r="G173" s="18" t="str">
        <x:v>Sensors, Scanner, Offline Tools</x:v>
      </x:c>
      <x:c r="H173" s="17" t="str">
        <x:v>Ads + Pro</x:v>
      </x:c>
      <x:c r="I173" s="17" t="str">
        <x:v>Small</x:v>
      </x:c>
      <x:c r="J173" s="17" t="str">
        <x:v>New candidate</x:v>
      </x:c>
      <x:c r="K173" s="17" t="str">
        <x:v>Unreviewed</x:v>
      </x:c>
      <x:c r="L173" s="17"/>
      <x:c r="M173" s="17"/>
      <x:c r="N173" s="17"/>
      <x:c r="O173" s="17"/>
      <x:c r="P173" s="17"/>
      <x:c r="Q173" s="17" t="str">
        <x:f>IF(COUNT(L173:P173)&lt;5,"",ROUND((L173*25+M173*20+N173*20+O173*20+P173*15)/5,1))</x:f>
      </x:c>
      <x:c r="R173" s="18" t="str"/>
      <x:c r="S173" s="18" t="str"/>
      <x:c r="T173" s="17" t="str"/>
      <x:c r="U173" s="19"/>
    </x:row>
    <x:row r="174">
      <x:c r="A174" s="17" t="str">
        <x:v>MTS-0173</x:v>
      </x:c>
      <x:c r="B174" s="17" t="str">
        <x:v>Magnetic Field Log</x:v>
      </x:c>
      <x:c r="C174" s="17" t="str">
        <x:v>Phone Utilities</x:v>
      </x:c>
      <x:c r="D174" s="17" t="str">
        <x:v>Mobile App</x:v>
      </x:c>
      <x:c r="E174" s="17" t="str">
        <x:v>General consumers</x:v>
      </x:c>
      <x:c r="F174" s="18" t="str">
        <x:v>Magnetic Field Log provides a focused phone utilities workflow for general consumers.</x:v>
      </x:c>
      <x:c r="G174" s="18" t="str">
        <x:v>Sensors, Scanner, Offline Tools</x:v>
      </x:c>
      <x:c r="H174" s="17" t="str">
        <x:v>Ads + Pro</x:v>
      </x:c>
      <x:c r="I174" s="17" t="str">
        <x:v>Small</x:v>
      </x:c>
      <x:c r="J174" s="17" t="str">
        <x:v>New candidate</x:v>
      </x:c>
      <x:c r="K174" s="17" t="str">
        <x:v>Unreviewed</x:v>
      </x:c>
      <x:c r="L174" s="17"/>
      <x:c r="M174" s="17"/>
      <x:c r="N174" s="17"/>
      <x:c r="O174" s="17"/>
      <x:c r="P174" s="17"/>
      <x:c r="Q174" s="17" t="str">
        <x:f>IF(COUNT(L174:P174)&lt;5,"",ROUND((L174*25+M174*20+N174*20+O174*20+P174*15)/5,1))</x:f>
      </x:c>
      <x:c r="R174" s="18" t="str"/>
      <x:c r="S174" s="18" t="str"/>
      <x:c r="T174" s="17" t="str"/>
      <x:c r="U174" s="19"/>
    </x:row>
    <x:row r="175">
      <x:c r="A175" s="17" t="str">
        <x:v>MTS-0174</x:v>
      </x:c>
      <x:c r="B175" s="17" t="str">
        <x:v>Pocket Light Meter</x:v>
      </x:c>
      <x:c r="C175" s="17" t="str">
        <x:v>Phone Utilities</x:v>
      </x:c>
      <x:c r="D175" s="17" t="str">
        <x:v>Mobile App</x:v>
      </x:c>
      <x:c r="E175" s="17" t="str">
        <x:v>General consumers</x:v>
      </x:c>
      <x:c r="F175" s="18" t="str">
        <x:v>Pocket Light Meter provides a focused phone utilities workflow for general consumers.</x:v>
      </x:c>
      <x:c r="G175" s="18" t="str">
        <x:v>Sensors, Scanner, Offline Tools</x:v>
      </x:c>
      <x:c r="H175" s="17" t="str">
        <x:v>Ads + Pro</x:v>
      </x:c>
      <x:c r="I175" s="17" t="str">
        <x:v>Small</x:v>
      </x:c>
      <x:c r="J175" s="17" t="str">
        <x:v>New candidate</x:v>
      </x:c>
      <x:c r="K175" s="17" t="str">
        <x:v>Unreviewed</x:v>
      </x:c>
      <x:c r="L175" s="17"/>
      <x:c r="M175" s="17"/>
      <x:c r="N175" s="17"/>
      <x:c r="O175" s="17"/>
      <x:c r="P175" s="17"/>
      <x:c r="Q175" s="17" t="str">
        <x:f>IF(COUNT(L175:P175)&lt;5,"",ROUND((L175*25+M175*20+N175*20+O175*20+P175*15)/5,1))</x:f>
      </x:c>
      <x:c r="R175" s="18" t="str"/>
      <x:c r="S175" s="18" t="str"/>
      <x:c r="T175" s="17" t="str"/>
      <x:c r="U175" s="19"/>
    </x:row>
    <x:row r="176">
      <x:c r="A176" s="17" t="str">
        <x:v>MTS-0175</x:v>
      </x:c>
      <x:c r="B176" s="17" t="str">
        <x:v>Color Sampler Tool</x:v>
      </x:c>
      <x:c r="C176" s="17" t="str">
        <x:v>Phone Utilities</x:v>
      </x:c>
      <x:c r="D176" s="17" t="str">
        <x:v>Mobile App</x:v>
      </x:c>
      <x:c r="E176" s="17" t="str">
        <x:v>General consumers</x:v>
      </x:c>
      <x:c r="F176" s="18" t="str">
        <x:v>Color Sampler Tool provides a focused phone utilities workflow for general consumers.</x:v>
      </x:c>
      <x:c r="G176" s="18" t="str">
        <x:v>Sensors, Scanner, Offline Tools</x:v>
      </x:c>
      <x:c r="H176" s="17" t="str">
        <x:v>Ads + Pro</x:v>
      </x:c>
      <x:c r="I176" s="17" t="str">
        <x:v>Small</x:v>
      </x:c>
      <x:c r="J176" s="17" t="str">
        <x:v>New candidate</x:v>
      </x:c>
      <x:c r="K176" s="17" t="str">
        <x:v>Unreviewed</x:v>
      </x:c>
      <x:c r="L176" s="17"/>
      <x:c r="M176" s="17"/>
      <x:c r="N176" s="17"/>
      <x:c r="O176" s="17"/>
      <x:c r="P176" s="17"/>
      <x:c r="Q176" s="17" t="str">
        <x:f>IF(COUNT(L176:P176)&lt;5,"",ROUND((L176*25+M176*20+N176*20+O176*20+P176*15)/5,1))</x:f>
      </x:c>
      <x:c r="R176" s="18" t="str"/>
      <x:c r="S176" s="18" t="str"/>
      <x:c r="T176" s="17" t="str"/>
      <x:c r="U176" s="19"/>
    </x:row>
    <x:row r="177">
      <x:c r="A177" s="17" t="str">
        <x:v>MTS-0176</x:v>
      </x:c>
      <x:c r="B177" s="17" t="str">
        <x:v>Screen Ruler Maxxed</x:v>
      </x:c>
      <x:c r="C177" s="17" t="str">
        <x:v>Phone Utilities</x:v>
      </x:c>
      <x:c r="D177" s="17" t="str">
        <x:v>Mobile App</x:v>
      </x:c>
      <x:c r="E177" s="17" t="str">
        <x:v>General consumers</x:v>
      </x:c>
      <x:c r="F177" s="18" t="str">
        <x:v>Screen Ruler Maxxed provides a focused phone utilities workflow for general consumers.</x:v>
      </x:c>
      <x:c r="G177" s="18" t="str">
        <x:v>Sensors, Scanner, Offline Tools</x:v>
      </x:c>
      <x:c r="H177" s="17" t="str">
        <x:v>Ads + Pro</x:v>
      </x:c>
      <x:c r="I177" s="17" t="str">
        <x:v>Small</x:v>
      </x:c>
      <x:c r="J177" s="17" t="str">
        <x:v>New candidate</x:v>
      </x:c>
      <x:c r="K177" s="17" t="str">
        <x:v>Unreviewed</x:v>
      </x:c>
      <x:c r="L177" s="17"/>
      <x:c r="M177" s="17"/>
      <x:c r="N177" s="17"/>
      <x:c r="O177" s="17"/>
      <x:c r="P177" s="17"/>
      <x:c r="Q177" s="17" t="str">
        <x:f>IF(COUNT(L177:P177)&lt;5,"",ROUND((L177*25+M177*20+N177*20+O177*20+P177*15)/5,1))</x:f>
      </x:c>
      <x:c r="R177" s="18" t="str"/>
      <x:c r="S177" s="18" t="str"/>
      <x:c r="T177" s="17" t="str"/>
      <x:c r="U177" s="19"/>
    </x:row>
    <x:row r="178">
      <x:c r="A178" s="17" t="str">
        <x:v>MTS-0177</x:v>
      </x:c>
      <x:c r="B178" s="17" t="str">
        <x:v>Digital Protractor</x:v>
      </x:c>
      <x:c r="C178" s="17" t="str">
        <x:v>Phone Utilities</x:v>
      </x:c>
      <x:c r="D178" s="17" t="str">
        <x:v>Mobile App</x:v>
      </x:c>
      <x:c r="E178" s="17" t="str">
        <x:v>General consumers</x:v>
      </x:c>
      <x:c r="F178" s="18" t="str">
        <x:v>Digital Protractor provides a focused phone utilities workflow for general consumers.</x:v>
      </x:c>
      <x:c r="G178" s="18" t="str">
        <x:v>Sensors, Scanner, Offline Tools</x:v>
      </x:c>
      <x:c r="H178" s="17" t="str">
        <x:v>Ads + Pro</x:v>
      </x:c>
      <x:c r="I178" s="17" t="str">
        <x:v>Small</x:v>
      </x:c>
      <x:c r="J178" s="17" t="str">
        <x:v>New candidate</x:v>
      </x:c>
      <x:c r="K178" s="17" t="str">
        <x:v>Unreviewed</x:v>
      </x:c>
      <x:c r="L178" s="17"/>
      <x:c r="M178" s="17"/>
      <x:c r="N178" s="17"/>
      <x:c r="O178" s="17"/>
      <x:c r="P178" s="17"/>
      <x:c r="Q178" s="17" t="str">
        <x:f>IF(COUNT(L178:P178)&lt;5,"",ROUND((L178*25+M178*20+N178*20+O178*20+P178*15)/5,1))</x:f>
      </x:c>
      <x:c r="R178" s="18" t="str"/>
      <x:c r="S178" s="18" t="str"/>
      <x:c r="T178" s="17" t="str"/>
      <x:c r="U178" s="19"/>
    </x:row>
    <x:row r="179">
      <x:c r="A179" s="17" t="str">
        <x:v>MTS-0178</x:v>
      </x:c>
      <x:c r="B179" s="17" t="str">
        <x:v>QR Inventory Scanner</x:v>
      </x:c>
      <x:c r="C179" s="17" t="str">
        <x:v>Phone Utilities</x:v>
      </x:c>
      <x:c r="D179" s="17" t="str">
        <x:v>Mobile App</x:v>
      </x:c>
      <x:c r="E179" s="17" t="str">
        <x:v>General consumers</x:v>
      </x:c>
      <x:c r="F179" s="18" t="str">
        <x:v>QR Inventory Scanner provides a focused phone utilities workflow for general consumers.</x:v>
      </x:c>
      <x:c r="G179" s="18" t="str">
        <x:v>Sensors, Scanner, Offline Tools</x:v>
      </x:c>
      <x:c r="H179" s="17" t="str">
        <x:v>Ads + Pro</x:v>
      </x:c>
      <x:c r="I179" s="17" t="str">
        <x:v>Small</x:v>
      </x:c>
      <x:c r="J179" s="17" t="str">
        <x:v>New candidate</x:v>
      </x:c>
      <x:c r="K179" s="17" t="str">
        <x:v>Unreviewed</x:v>
      </x:c>
      <x:c r="L179" s="17"/>
      <x:c r="M179" s="17"/>
      <x:c r="N179" s="17"/>
      <x:c r="O179" s="17"/>
      <x:c r="P179" s="17"/>
      <x:c r="Q179" s="17" t="str">
        <x:f>IF(COUNT(L179:P179)&lt;5,"",ROUND((L179*25+M179*20+N179*20+O179*20+P179*15)/5,1))</x:f>
      </x:c>
      <x:c r="R179" s="18" t="str"/>
      <x:c r="S179" s="18" t="str"/>
      <x:c r="T179" s="17" t="str"/>
      <x:c r="U179" s="19"/>
    </x:row>
    <x:row r="180">
      <x:c r="A180" s="17" t="str">
        <x:v>MTS-0179</x:v>
      </x:c>
      <x:c r="B180" s="17" t="str">
        <x:v>Offline Unit Converter</x:v>
      </x:c>
      <x:c r="C180" s="17" t="str">
        <x:v>Phone Utilities</x:v>
      </x:c>
      <x:c r="D180" s="17" t="str">
        <x:v>Mobile App</x:v>
      </x:c>
      <x:c r="E180" s="17" t="str">
        <x:v>General consumers</x:v>
      </x:c>
      <x:c r="F180" s="18" t="str">
        <x:v>Offline Unit Converter provides a focused phone utilities workflow for general consumers.</x:v>
      </x:c>
      <x:c r="G180" s="18" t="str">
        <x:v>Sensors, Scanner, Offline Tools</x:v>
      </x:c>
      <x:c r="H180" s="17" t="str">
        <x:v>Ads + Pro</x:v>
      </x:c>
      <x:c r="I180" s="17" t="str">
        <x:v>Small</x:v>
      </x:c>
      <x:c r="J180" s="17" t="str">
        <x:v>New candidate</x:v>
      </x:c>
      <x:c r="K180" s="17" t="str">
        <x:v>Unreviewed</x:v>
      </x:c>
      <x:c r="L180" s="17"/>
      <x:c r="M180" s="17"/>
      <x:c r="N180" s="17"/>
      <x:c r="O180" s="17"/>
      <x:c r="P180" s="17"/>
      <x:c r="Q180" s="17" t="str">
        <x:f>IF(COUNT(L180:P180)&lt;5,"",ROUND((L180*25+M180*20+N180*20+O180*20+P180*15)/5,1))</x:f>
      </x:c>
      <x:c r="R180" s="18" t="str"/>
      <x:c r="S180" s="18" t="str"/>
      <x:c r="T180" s="17" t="str"/>
      <x:c r="U180" s="19"/>
    </x:row>
    <x:row r="181">
      <x:c r="A181" s="17" t="str">
        <x:v>MTS-0180</x:v>
      </x:c>
      <x:c r="B181" s="17" t="str">
        <x:v>WiFi Room Survey</x:v>
      </x:c>
      <x:c r="C181" s="17" t="str">
        <x:v>Phone Utilities</x:v>
      </x:c>
      <x:c r="D181" s="17" t="str">
        <x:v>Mobile App</x:v>
      </x:c>
      <x:c r="E181" s="17" t="str">
        <x:v>General consumers</x:v>
      </x:c>
      <x:c r="F181" s="18" t="str">
        <x:v>WiFi Room Survey provides a focused phone utilities workflow for general consumers.</x:v>
      </x:c>
      <x:c r="G181" s="18" t="str">
        <x:v>Sensors, Scanner, Offline Tools</x:v>
      </x:c>
      <x:c r="H181" s="17" t="str">
        <x:v>Ads + Pro</x:v>
      </x:c>
      <x:c r="I181" s="17" t="str">
        <x:v>Small</x:v>
      </x:c>
      <x:c r="J181" s="17" t="str">
        <x:v>New candidate</x:v>
      </x:c>
      <x:c r="K181" s="17" t="str">
        <x:v>Unreviewed</x:v>
      </x:c>
      <x:c r="L181" s="17"/>
      <x:c r="M181" s="17"/>
      <x:c r="N181" s="17"/>
      <x:c r="O181" s="17"/>
      <x:c r="P181" s="17"/>
      <x:c r="Q181" s="17" t="str">
        <x:f>IF(COUNT(L181:P181)&lt;5,"",ROUND((L181*25+M181*20+N181*20+O181*20+P181*15)/5,1))</x:f>
      </x:c>
      <x:c r="R181" s="18" t="str"/>
      <x:c r="S181" s="18" t="str"/>
      <x:c r="T181" s="17" t="str"/>
      <x:c r="U181" s="19"/>
    </x:row>
    <x:row r="182">
      <x:c r="A182" s="17" t="str">
        <x:v>MTS-0181</x:v>
      </x:c>
      <x:c r="B182" s="17" t="str">
        <x:v>Return Window Tracker</x:v>
      </x:c>
      <x:c r="C182" s="17" t="str">
        <x:v>Consumer Tracking</x:v>
      </x:c>
      <x:c r="D182" s="17" t="str">
        <x:v>Mobile App</x:v>
      </x:c>
      <x:c r="E182" s="17" t="str">
        <x:v>Households</x:v>
      </x:c>
      <x:c r="F182" s="18" t="str">
        <x:v>Return Window Tracker provides a focused consumer tracking workflow for households.</x:v>
      </x:c>
      <x:c r="G182" s="18" t="str">
        <x:v>Reminders, Inventory, Camera, Export</x:v>
      </x:c>
      <x:c r="H182" s="17" t="str">
        <x:v>Ads + Pro</x:v>
      </x:c>
      <x:c r="I182" s="17" t="str">
        <x:v>Small</x:v>
      </x:c>
      <x:c r="J182" s="17" t="str">
        <x:v>New candidate</x:v>
      </x:c>
      <x:c r="K182" s="17" t="str">
        <x:v>Unreviewed</x:v>
      </x:c>
      <x:c r="L182" s="17"/>
      <x:c r="M182" s="17"/>
      <x:c r="N182" s="17"/>
      <x:c r="O182" s="17"/>
      <x:c r="P182" s="17"/>
      <x:c r="Q182" s="17" t="str">
        <x:f>IF(COUNT(L182:P182)&lt;5,"",ROUND((L182*25+M182*20+N182*20+O182*20+P182*15)/5,1))</x:f>
      </x:c>
      <x:c r="R182" s="18" t="str"/>
      <x:c r="S182" s="18" t="str"/>
      <x:c r="T182" s="17" t="str"/>
      <x:c r="U182" s="19"/>
    </x:row>
    <x:row r="183">
      <x:c r="A183" s="17" t="str">
        <x:v>MTS-0182</x:v>
      </x:c>
      <x:c r="B183" s="17" t="str">
        <x:v>Subscription Exit Tracker</x:v>
      </x:c>
      <x:c r="C183" s="17" t="str">
        <x:v>Consumer Tracking</x:v>
      </x:c>
      <x:c r="D183" s="17" t="str">
        <x:v>Mobile App</x:v>
      </x:c>
      <x:c r="E183" s="17" t="str">
        <x:v>Households</x:v>
      </x:c>
      <x:c r="F183" s="18" t="str">
        <x:v>Subscription Exit Tracker provides a focused consumer tracking workflow for households.</x:v>
      </x:c>
      <x:c r="G183" s="18" t="str">
        <x:v>Reminders, Inventory, Camera, Export</x:v>
      </x:c>
      <x:c r="H183" s="17" t="str">
        <x:v>Ads + Pro</x:v>
      </x:c>
      <x:c r="I183" s="17" t="str">
        <x:v>Small</x:v>
      </x:c>
      <x:c r="J183" s="17" t="str">
        <x:v>New candidate</x:v>
      </x:c>
      <x:c r="K183" s="17" t="str">
        <x:v>Unreviewed</x:v>
      </x:c>
      <x:c r="L183" s="17"/>
      <x:c r="M183" s="17"/>
      <x:c r="N183" s="17"/>
      <x:c r="O183" s="17"/>
      <x:c r="P183" s="17"/>
      <x:c r="Q183" s="17" t="str">
        <x:f>IF(COUNT(L183:P183)&lt;5,"",ROUND((L183*25+M183*20+N183*20+O183*20+P183*15)/5,1))</x:f>
      </x:c>
      <x:c r="R183" s="18" t="str"/>
      <x:c r="S183" s="18" t="str"/>
      <x:c r="T183" s="17" t="str"/>
      <x:c r="U183" s="19"/>
    </x:row>
    <x:row r="184">
      <x:c r="A184" s="17" t="str">
        <x:v>MTS-0183</x:v>
      </x:c>
      <x:c r="B184" s="17" t="str">
        <x:v>Personal Price History</x:v>
      </x:c>
      <x:c r="C184" s="17" t="str">
        <x:v>Consumer Tracking</x:v>
      </x:c>
      <x:c r="D184" s="17" t="str">
        <x:v>Mobile App</x:v>
      </x:c>
      <x:c r="E184" s="17" t="str">
        <x:v>Households</x:v>
      </x:c>
      <x:c r="F184" s="18" t="str">
        <x:v>Personal Price History provides a focused consumer tracking workflow for households.</x:v>
      </x:c>
      <x:c r="G184" s="18" t="str">
        <x:v>Reminders, Inventory, Camera, Export</x:v>
      </x:c>
      <x:c r="H184" s="17" t="str">
        <x:v>Ads + Pro</x:v>
      </x:c>
      <x:c r="I184" s="17" t="str">
        <x:v>Small</x:v>
      </x:c>
      <x:c r="J184" s="17" t="str">
        <x:v>New candidate</x:v>
      </x:c>
      <x:c r="K184" s="17" t="str">
        <x:v>Unreviewed</x:v>
      </x:c>
      <x:c r="L184" s="17"/>
      <x:c r="M184" s="17"/>
      <x:c r="N184" s="17"/>
      <x:c r="O184" s="17"/>
      <x:c r="P184" s="17"/>
      <x:c r="Q184" s="17" t="str">
        <x:f>IF(COUNT(L184:P184)&lt;5,"",ROUND((L184*25+M184*20+N184*20+O184*20+P184*15)/5,1))</x:f>
      </x:c>
      <x:c r="R184" s="18" t="str"/>
      <x:c r="S184" s="18" t="str"/>
      <x:c r="T184" s="17" t="str"/>
      <x:c r="U184" s="19"/>
    </x:row>
    <x:row r="185">
      <x:c r="A185" s="17" t="str">
        <x:v>MTS-0184</x:v>
      </x:c>
      <x:c r="B185" s="17" t="str">
        <x:v>Shared Household Maintenance</x:v>
      </x:c>
      <x:c r="C185" s="17" t="str">
        <x:v>Consumer Tracking</x:v>
      </x:c>
      <x:c r="D185" s="17" t="str">
        <x:v>Mobile App</x:v>
      </x:c>
      <x:c r="E185" s="17" t="str">
        <x:v>Households</x:v>
      </x:c>
      <x:c r="F185" s="18" t="str">
        <x:v>Shared Household Maintenance provides a focused consumer tracking workflow for households.</x:v>
      </x:c>
      <x:c r="G185" s="18" t="str">
        <x:v>Reminders, Inventory, Camera, Export</x:v>
      </x:c>
      <x:c r="H185" s="17" t="str">
        <x:v>Ads + Pro</x:v>
      </x:c>
      <x:c r="I185" s="17" t="str">
        <x:v>Small</x:v>
      </x:c>
      <x:c r="J185" s="17" t="str">
        <x:v>New candidate</x:v>
      </x:c>
      <x:c r="K185" s="17" t="str">
        <x:v>Unreviewed</x:v>
      </x:c>
      <x:c r="L185" s="17"/>
      <x:c r="M185" s="17"/>
      <x:c r="N185" s="17"/>
      <x:c r="O185" s="17"/>
      <x:c r="P185" s="17"/>
      <x:c r="Q185" s="17" t="str">
        <x:f>IF(COUNT(L185:P185)&lt;5,"",ROUND((L185*25+M185*20+N185*20+O185*20+P185*15)/5,1))</x:f>
      </x:c>
      <x:c r="R185" s="18" t="str"/>
      <x:c r="S185" s="18" t="str"/>
      <x:c r="T185" s="17" t="str"/>
      <x:c r="U185" s="19"/>
    </x:row>
    <x:row r="186">
      <x:c r="A186" s="17" t="str">
        <x:v>MTS-0185</x:v>
      </x:c>
      <x:c r="B186" s="17" t="str">
        <x:v>Pantry Expiration Tracker</x:v>
      </x:c>
      <x:c r="C186" s="17" t="str">
        <x:v>Consumer Tracking</x:v>
      </x:c>
      <x:c r="D186" s="17" t="str">
        <x:v>Mobile App</x:v>
      </x:c>
      <x:c r="E186" s="17" t="str">
        <x:v>Households</x:v>
      </x:c>
      <x:c r="F186" s="18" t="str">
        <x:v>Pantry Expiration Tracker provides a focused consumer tracking workflow for households.</x:v>
      </x:c>
      <x:c r="G186" s="18" t="str">
        <x:v>Reminders, Inventory, Camera, Export</x:v>
      </x:c>
      <x:c r="H186" s="17" t="str">
        <x:v>Ads + Pro</x:v>
      </x:c>
      <x:c r="I186" s="17" t="str">
        <x:v>Small</x:v>
      </x:c>
      <x:c r="J186" s="17" t="str">
        <x:v>New candidate</x:v>
      </x:c>
      <x:c r="K186" s="17" t="str">
        <x:v>Unreviewed</x:v>
      </x:c>
      <x:c r="L186" s="17"/>
      <x:c r="M186" s="17"/>
      <x:c r="N186" s="17"/>
      <x:c r="O186" s="17"/>
      <x:c r="P186" s="17"/>
      <x:c r="Q186" s="17" t="str">
        <x:f>IF(COUNT(L186:P186)&lt;5,"",ROUND((L186*25+M186*20+N186*20+O186*20+P186*15)/5,1))</x:f>
      </x:c>
      <x:c r="R186" s="18" t="str"/>
      <x:c r="S186" s="18" t="str"/>
      <x:c r="T186" s="17" t="str"/>
      <x:c r="U186" s="19"/>
    </x:row>
    <x:row r="187">
      <x:c r="A187" s="17" t="str">
        <x:v>MTS-0186</x:v>
      </x:c>
      <x:c r="B187" s="17" t="str">
        <x:v>Freezer Inventory Offline</x:v>
      </x:c>
      <x:c r="C187" s="17" t="str">
        <x:v>Consumer Tracking</x:v>
      </x:c>
      <x:c r="D187" s="17" t="str">
        <x:v>Mobile App</x:v>
      </x:c>
      <x:c r="E187" s="17" t="str">
        <x:v>Households</x:v>
      </x:c>
      <x:c r="F187" s="18" t="str">
        <x:v>Freezer Inventory Offline provides a focused consumer tracking workflow for households.</x:v>
      </x:c>
      <x:c r="G187" s="18" t="str">
        <x:v>Reminders, Inventory, Camera, Export</x:v>
      </x:c>
      <x:c r="H187" s="17" t="str">
        <x:v>Ads + Pro</x:v>
      </x:c>
      <x:c r="I187" s="17" t="str">
        <x:v>Small</x:v>
      </x:c>
      <x:c r="J187" s="17" t="str">
        <x:v>New candidate</x:v>
      </x:c>
      <x:c r="K187" s="17" t="str">
        <x:v>Unreviewed</x:v>
      </x:c>
      <x:c r="L187" s="17"/>
      <x:c r="M187" s="17"/>
      <x:c r="N187" s="17"/>
      <x:c r="O187" s="17"/>
      <x:c r="P187" s="17"/>
      <x:c r="Q187" s="17" t="str">
        <x:f>IF(COUNT(L187:P187)&lt;5,"",ROUND((L187*25+M187*20+N187*20+O187*20+P187*15)/5,1))</x:f>
      </x:c>
      <x:c r="R187" s="18" t="str"/>
      <x:c r="S187" s="18" t="str"/>
      <x:c r="T187" s="17" t="str"/>
      <x:c r="U187" s="19"/>
    </x:row>
    <x:row r="188">
      <x:c r="A188" s="17" t="str">
        <x:v>MTS-0187</x:v>
      </x:c>
      <x:c r="B188" s="17" t="str">
        <x:v>Donation Record Keeper</x:v>
      </x:c>
      <x:c r="C188" s="17" t="str">
        <x:v>Consumer Tracking</x:v>
      </x:c>
      <x:c r="D188" s="17" t="str">
        <x:v>Mobile App</x:v>
      </x:c>
      <x:c r="E188" s="17" t="str">
        <x:v>Households</x:v>
      </x:c>
      <x:c r="F188" s="18" t="str">
        <x:v>Donation Record Keeper provides a focused consumer tracking workflow for households.</x:v>
      </x:c>
      <x:c r="G188" s="18" t="str">
        <x:v>Reminders, Inventory, Camera, Export</x:v>
      </x:c>
      <x:c r="H188" s="17" t="str">
        <x:v>Ads + Pro</x:v>
      </x:c>
      <x:c r="I188" s="17" t="str">
        <x:v>Small</x:v>
      </x:c>
      <x:c r="J188" s="17" t="str">
        <x:v>New candidate</x:v>
      </x:c>
      <x:c r="K188" s="17" t="str">
        <x:v>Unreviewed</x:v>
      </x:c>
      <x:c r="L188" s="17"/>
      <x:c r="M188" s="17"/>
      <x:c r="N188" s="17"/>
      <x:c r="O188" s="17"/>
      <x:c r="P188" s="17"/>
      <x:c r="Q188" s="17" t="str">
        <x:f>IF(COUNT(L188:P188)&lt;5,"",ROUND((L188*25+M188*20+N188*20+O188*20+P188*15)/5,1))</x:f>
      </x:c>
      <x:c r="R188" s="18" t="str"/>
      <x:c r="S188" s="18" t="str"/>
      <x:c r="T188" s="17" t="str"/>
      <x:c r="U188" s="19"/>
    </x:row>
    <x:row r="189">
      <x:c r="A189" s="17" t="str">
        <x:v>MTS-0188</x:v>
      </x:c>
      <x:c r="B189" s="17" t="str">
        <x:v>Gift Warranty Tracker</x:v>
      </x:c>
      <x:c r="C189" s="17" t="str">
        <x:v>Consumer Tracking</x:v>
      </x:c>
      <x:c r="D189" s="17" t="str">
        <x:v>Mobile App</x:v>
      </x:c>
      <x:c r="E189" s="17" t="str">
        <x:v>Households</x:v>
      </x:c>
      <x:c r="F189" s="18" t="str">
        <x:v>Gift Warranty Tracker provides a focused consumer tracking workflow for households.</x:v>
      </x:c>
      <x:c r="G189" s="18" t="str">
        <x:v>Reminders, Inventory, Camera, Export</x:v>
      </x:c>
      <x:c r="H189" s="17" t="str">
        <x:v>Ads + Pro</x:v>
      </x:c>
      <x:c r="I189" s="17" t="str">
        <x:v>Small</x:v>
      </x:c>
      <x:c r="J189" s="17" t="str">
        <x:v>New candidate</x:v>
      </x:c>
      <x:c r="K189" s="17" t="str">
        <x:v>Unreviewed</x:v>
      </x:c>
      <x:c r="L189" s="17"/>
      <x:c r="M189" s="17"/>
      <x:c r="N189" s="17"/>
      <x:c r="O189" s="17"/>
      <x:c r="P189" s="17"/>
      <x:c r="Q189" s="17" t="str">
        <x:f>IF(COUNT(L189:P189)&lt;5,"",ROUND((L189*25+M189*20+N189*20+O189*20+P189*15)/5,1))</x:f>
      </x:c>
      <x:c r="R189" s="18" t="str"/>
      <x:c r="S189" s="18" t="str"/>
      <x:c r="T189" s="17" t="str"/>
      <x:c r="U189" s="19"/>
    </x:row>
    <x:row r="190">
      <x:c r="A190" s="17" t="str">
        <x:v>MTS-0189</x:v>
      </x:c>
      <x:c r="B190" s="17" t="str">
        <x:v>Borrowed Item Tracker</x:v>
      </x:c>
      <x:c r="C190" s="17" t="str">
        <x:v>Consumer Tracking</x:v>
      </x:c>
      <x:c r="D190" s="17" t="str">
        <x:v>Mobile App</x:v>
      </x:c>
      <x:c r="E190" s="17" t="str">
        <x:v>Households</x:v>
      </x:c>
      <x:c r="F190" s="18" t="str">
        <x:v>Borrowed Item Tracker provides a focused consumer tracking workflow for households.</x:v>
      </x:c>
      <x:c r="G190" s="18" t="str">
        <x:v>Reminders, Inventory, Camera, Export</x:v>
      </x:c>
      <x:c r="H190" s="17" t="str">
        <x:v>Ads + Pro</x:v>
      </x:c>
      <x:c r="I190" s="17" t="str">
        <x:v>Small</x:v>
      </x:c>
      <x:c r="J190" s="17" t="str">
        <x:v>New candidate</x:v>
      </x:c>
      <x:c r="K190" s="17" t="str">
        <x:v>Unreviewed</x:v>
      </x:c>
      <x:c r="L190" s="17"/>
      <x:c r="M190" s="17"/>
      <x:c r="N190" s="17"/>
      <x:c r="O190" s="17"/>
      <x:c r="P190" s="17"/>
      <x:c r="Q190" s="17" t="str">
        <x:f>IF(COUNT(L190:P190)&lt;5,"",ROUND((L190*25+M190*20+N190*20+O190*20+P190*15)/5,1))</x:f>
      </x:c>
      <x:c r="R190" s="18" t="str"/>
      <x:c r="S190" s="18" t="str"/>
      <x:c r="T190" s="17" t="str"/>
      <x:c r="U190" s="19"/>
    </x:row>
    <x:row r="191">
      <x:c r="A191" s="17" t="str">
        <x:v>MTS-0190</x:v>
      </x:c>
      <x:c r="B191" s="17" t="str">
        <x:v>Smart Mailbox Notification</x:v>
      </x:c>
      <x:c r="C191" s="17" t="str">
        <x:v>Consumer Tracking</x:v>
      </x:c>
      <x:c r="D191" s="17" t="str">
        <x:v>Mobile App</x:v>
      </x:c>
      <x:c r="E191" s="17" t="str">
        <x:v>Households</x:v>
      </x:c>
      <x:c r="F191" s="18" t="str">
        <x:v>Smart Mailbox Notification provides a focused consumer tracking workflow for households.</x:v>
      </x:c>
      <x:c r="G191" s="18" t="str">
        <x:v>Reminders, Inventory, Camera, Export</x:v>
      </x:c>
      <x:c r="H191" s="17" t="str">
        <x:v>Ads + Pro</x:v>
      </x:c>
      <x:c r="I191" s="17" t="str">
        <x:v>Small</x:v>
      </x:c>
      <x:c r="J191" s="17" t="str">
        <x:v>Existing discussion/project</x:v>
      </x:c>
      <x:c r="K191" s="17" t="str">
        <x:v>Unreviewed</x:v>
      </x:c>
      <x:c r="L191" s="17"/>
      <x:c r="M191" s="17"/>
      <x:c r="N191" s="17"/>
      <x:c r="O191" s="17"/>
      <x:c r="P191" s="17"/>
      <x:c r="Q191" s="17" t="str">
        <x:f>IF(COUNT(L191:P191)&lt;5,"",ROUND((L191*25+M191*20+N191*20+O191*20+P191*15)/5,1))</x:f>
      </x:c>
      <x:c r="R191" s="18" t="str"/>
      <x:c r="S191" s="18" t="str"/>
      <x:c r="T191" s="17" t="str"/>
      <x:c r="U191" s="19"/>
    </x:row>
    <x:row r="192">
      <x:c r="A192" s="17" t="str">
        <x:v>MTS-0191</x:v>
      </x:c>
      <x:c r="B192" s="17" t="str">
        <x:v>Household Bill Calendar</x:v>
      </x:c>
      <x:c r="C192" s="17" t="str">
        <x:v>Consumer Tracking</x:v>
      </x:c>
      <x:c r="D192" s="17" t="str">
        <x:v>Mobile App</x:v>
      </x:c>
      <x:c r="E192" s="17" t="str">
        <x:v>Households</x:v>
      </x:c>
      <x:c r="F192" s="18" t="str">
        <x:v>Household Bill Calendar provides a focused consumer tracking workflow for households.</x:v>
      </x:c>
      <x:c r="G192" s="18" t="str">
        <x:v>Reminders, Inventory, Camera, Export</x:v>
      </x:c>
      <x:c r="H192" s="17" t="str">
        <x:v>Ads + Pro</x:v>
      </x:c>
      <x:c r="I192" s="17" t="str">
        <x:v>Small</x:v>
      </x:c>
      <x:c r="J192" s="17" t="str">
        <x:v>New candidate</x:v>
      </x:c>
      <x:c r="K192" s="17" t="str">
        <x:v>Unreviewed</x:v>
      </x:c>
      <x:c r="L192" s="17"/>
      <x:c r="M192" s="17"/>
      <x:c r="N192" s="17"/>
      <x:c r="O192" s="17"/>
      <x:c r="P192" s="17"/>
      <x:c r="Q192" s="17" t="str">
        <x:f>IF(COUNT(L192:P192)&lt;5,"",ROUND((L192*25+M192*20+N192*20+O192*20+P192*15)/5,1))</x:f>
      </x:c>
      <x:c r="R192" s="18" t="str"/>
      <x:c r="S192" s="18" t="str"/>
      <x:c r="T192" s="17" t="str"/>
      <x:c r="U192" s="19"/>
    </x:row>
    <x:row r="193">
      <x:c r="A193" s="17" t="str">
        <x:v>MTS-0192</x:v>
      </x:c>
      <x:c r="B193" s="17" t="str">
        <x:v>Personal Renewal Tracker</x:v>
      </x:c>
      <x:c r="C193" s="17" t="str">
        <x:v>Consumer Tracking</x:v>
      </x:c>
      <x:c r="D193" s="17" t="str">
        <x:v>Mobile App</x:v>
      </x:c>
      <x:c r="E193" s="17" t="str">
        <x:v>Households</x:v>
      </x:c>
      <x:c r="F193" s="18" t="str">
        <x:v>Personal Renewal Tracker provides a focused consumer tracking workflow for households.</x:v>
      </x:c>
      <x:c r="G193" s="18" t="str">
        <x:v>Reminders, Inventory, Camera, Export</x:v>
      </x:c>
      <x:c r="H193" s="17" t="str">
        <x:v>Ads + Pro</x:v>
      </x:c>
      <x:c r="I193" s="17" t="str">
        <x:v>Small</x:v>
      </x:c>
      <x:c r="J193" s="17" t="str">
        <x:v>New candidate</x:v>
      </x:c>
      <x:c r="K193" s="17" t="str">
        <x:v>Unreviewed</x:v>
      </x:c>
      <x:c r="L193" s="17"/>
      <x:c r="M193" s="17"/>
      <x:c r="N193" s="17"/>
      <x:c r="O193" s="17"/>
      <x:c r="P193" s="17"/>
      <x:c r="Q193" s="17" t="str">
        <x:f>IF(COUNT(L193:P193)&lt;5,"",ROUND((L193*25+M193*20+N193*20+O193*20+P193*15)/5,1))</x:f>
      </x:c>
      <x:c r="R193" s="18" t="str"/>
      <x:c r="S193" s="18" t="str"/>
      <x:c r="T193" s="17" t="str"/>
      <x:c r="U193" s="19"/>
    </x:row>
    <x:row r="194">
      <x:c r="A194" s="17" t="str">
        <x:v>MTS-0193</x:v>
      </x:c>
      <x:c r="B194" s="17" t="str">
        <x:v>Photography Location Scout</x:v>
      </x:c>
      <x:c r="C194" s="17" t="str">
        <x:v>Photography and Creators</x:v>
      </x:c>
      <x:c r="D194" s="17" t="str">
        <x:v>Mobile + Web</x:v>
      </x:c>
      <x:c r="E194" s="17" t="str">
        <x:v>Photographers and creators</x:v>
      </x:c>
      <x:c r="F194" s="18" t="str">
        <x:v>Photography Location Scout provides a focused photography and creators workflow for photographers and creators.</x:v>
      </x:c>
      <x:c r="G194" s="18" t="str">
        <x:v>Planning, Releases, Assets, Workflow</x:v>
      </x:c>
      <x:c r="H194" s="17" t="str">
        <x:v>Freemium</x:v>
      </x:c>
      <x:c r="I194" s="17" t="str">
        <x:v>Small</x:v>
      </x:c>
      <x:c r="J194" s="17" t="str">
        <x:v>New candidate</x:v>
      </x:c>
      <x:c r="K194" s="17" t="str">
        <x:v>Unreviewed</x:v>
      </x:c>
      <x:c r="L194" s="17"/>
      <x:c r="M194" s="17"/>
      <x:c r="N194" s="17"/>
      <x:c r="O194" s="17"/>
      <x:c r="P194" s="17"/>
      <x:c r="Q194" s="17" t="str">
        <x:f>IF(COUNT(L194:P194)&lt;5,"",ROUND((L194*25+M194*20+N194*20+O194*20+P194*15)/5,1))</x:f>
      </x:c>
      <x:c r="R194" s="18" t="str"/>
      <x:c r="S194" s="18" t="str"/>
      <x:c r="T194" s="17" t="str"/>
      <x:c r="U194" s="19"/>
    </x:row>
    <x:row r="195">
      <x:c r="A195" s="17" t="str">
        <x:v>MTS-0194</x:v>
      </x:c>
      <x:c r="B195" s="17" t="str">
        <x:v>Photo Shoot Checklist</x:v>
      </x:c>
      <x:c r="C195" s="17" t="str">
        <x:v>Photography and Creators</x:v>
      </x:c>
      <x:c r="D195" s="17" t="str">
        <x:v>Mobile + Web</x:v>
      </x:c>
      <x:c r="E195" s="17" t="str">
        <x:v>Photographers and creators</x:v>
      </x:c>
      <x:c r="F195" s="18" t="str">
        <x:v>Photo Shoot Checklist provides a focused photography and creators workflow for photographers and creators.</x:v>
      </x:c>
      <x:c r="G195" s="18" t="str">
        <x:v>Planning, Releases, Assets, Workflow</x:v>
      </x:c>
      <x:c r="H195" s="17" t="str">
        <x:v>Freemium</x:v>
      </x:c>
      <x:c r="I195" s="17" t="str">
        <x:v>Small</x:v>
      </x:c>
      <x:c r="J195" s="17" t="str">
        <x:v>New candidate</x:v>
      </x:c>
      <x:c r="K195" s="17" t="str">
        <x:v>Unreviewed</x:v>
      </x:c>
      <x:c r="L195" s="17"/>
      <x:c r="M195" s="17"/>
      <x:c r="N195" s="17"/>
      <x:c r="O195" s="17"/>
      <x:c r="P195" s="17"/>
      <x:c r="Q195" s="17" t="str">
        <x:f>IF(COUNT(L195:P195)&lt;5,"",ROUND((L195*25+M195*20+N195*20+O195*20+P195*15)/5,1))</x:f>
      </x:c>
      <x:c r="R195" s="18" t="str"/>
      <x:c r="S195" s="18" t="str"/>
      <x:c r="T195" s="17" t="str"/>
      <x:c r="U195" s="19"/>
    </x:row>
    <x:row r="196">
      <x:c r="A196" s="17" t="str">
        <x:v>MTS-0195</x:v>
      </x:c>
      <x:c r="B196" s="17" t="str">
        <x:v>Client Shot List Builder</x:v>
      </x:c>
      <x:c r="C196" s="17" t="str">
        <x:v>Photography and Creators</x:v>
      </x:c>
      <x:c r="D196" s="17" t="str">
        <x:v>Mobile + Web</x:v>
      </x:c>
      <x:c r="E196" s="17" t="str">
        <x:v>Photographers and creators</x:v>
      </x:c>
      <x:c r="F196" s="18" t="str">
        <x:v>Client Shot List Builder provides a focused photography and creators workflow for photographers and creators.</x:v>
      </x:c>
      <x:c r="G196" s="18" t="str">
        <x:v>Planning, Releases, Assets, Workflow</x:v>
      </x:c>
      <x:c r="H196" s="17" t="str">
        <x:v>Freemium</x:v>
      </x:c>
      <x:c r="I196" s="17" t="str">
        <x:v>Small</x:v>
      </x:c>
      <x:c r="J196" s="17" t="str">
        <x:v>New candidate</x:v>
      </x:c>
      <x:c r="K196" s="17" t="str">
        <x:v>Unreviewed</x:v>
      </x:c>
      <x:c r="L196" s="17"/>
      <x:c r="M196" s="17"/>
      <x:c r="N196" s="17"/>
      <x:c r="O196" s="17"/>
      <x:c r="P196" s="17"/>
      <x:c r="Q196" s="17" t="str">
        <x:f>IF(COUNT(L196:P196)&lt;5,"",ROUND((L196*25+M196*20+N196*20+O196*20+P196*15)/5,1))</x:f>
      </x:c>
      <x:c r="R196" s="18" t="str"/>
      <x:c r="S196" s="18" t="str"/>
      <x:c r="T196" s="17" t="str"/>
      <x:c r="U196" s="19"/>
    </x:row>
    <x:row r="197">
      <x:c r="A197" s="17" t="str">
        <x:v>MTS-0196</x:v>
      </x:c>
      <x:c r="B197" s="17" t="str">
        <x:v>Model Release Manager</x:v>
      </x:c>
      <x:c r="C197" s="17" t="str">
        <x:v>Photography and Creators</x:v>
      </x:c>
      <x:c r="D197" s="17" t="str">
        <x:v>Mobile + Web</x:v>
      </x:c>
      <x:c r="E197" s="17" t="str">
        <x:v>Photographers and creators</x:v>
      </x:c>
      <x:c r="F197" s="18" t="str">
        <x:v>Model Release Manager provides a focused photography and creators workflow for photographers and creators.</x:v>
      </x:c>
      <x:c r="G197" s="18" t="str">
        <x:v>Planning, Releases, Assets, Workflow</x:v>
      </x:c>
      <x:c r="H197" s="17" t="str">
        <x:v>Freemium</x:v>
      </x:c>
      <x:c r="I197" s="17" t="str">
        <x:v>Small</x:v>
      </x:c>
      <x:c r="J197" s="17" t="str">
        <x:v>New candidate</x:v>
      </x:c>
      <x:c r="K197" s="17" t="str">
        <x:v>Unreviewed</x:v>
      </x:c>
      <x:c r="L197" s="17"/>
      <x:c r="M197" s="17"/>
      <x:c r="N197" s="17"/>
      <x:c r="O197" s="17"/>
      <x:c r="P197" s="17"/>
      <x:c r="Q197" s="17" t="str">
        <x:f>IF(COUNT(L197:P197)&lt;5,"",ROUND((L197*25+M197*20+N197*20+O197*20+P197*15)/5,1))</x:f>
      </x:c>
      <x:c r="R197" s="18" t="str"/>
      <x:c r="S197" s="18" t="str"/>
      <x:c r="T197" s="17" t="str"/>
      <x:c r="U197" s="19"/>
    </x:row>
    <x:row r="198">
      <x:c r="A198" s="17" t="str">
        <x:v>MTS-0197</x:v>
      </x:c>
      <x:c r="B198" s="17" t="str">
        <x:v>Camera Equipment Inventory</x:v>
      </x:c>
      <x:c r="C198" s="17" t="str">
        <x:v>Photography and Creators</x:v>
      </x:c>
      <x:c r="D198" s="17" t="str">
        <x:v>Mobile + Web</x:v>
      </x:c>
      <x:c r="E198" s="17" t="str">
        <x:v>Photographers and creators</x:v>
      </x:c>
      <x:c r="F198" s="18" t="str">
        <x:v>Camera Equipment Inventory provides a focused photography and creators workflow for photographers and creators.</x:v>
      </x:c>
      <x:c r="G198" s="18" t="str">
        <x:v>Planning, Releases, Assets, Workflow</x:v>
      </x:c>
      <x:c r="H198" s="17" t="str">
        <x:v>Freemium</x:v>
      </x:c>
      <x:c r="I198" s="17" t="str">
        <x:v>Small</x:v>
      </x:c>
      <x:c r="J198" s="17" t="str">
        <x:v>New candidate</x:v>
      </x:c>
      <x:c r="K198" s="17" t="str">
        <x:v>Unreviewed</x:v>
      </x:c>
      <x:c r="L198" s="17"/>
      <x:c r="M198" s="17"/>
      <x:c r="N198" s="17"/>
      <x:c r="O198" s="17"/>
      <x:c r="P198" s="17"/>
      <x:c r="Q198" s="17" t="str">
        <x:f>IF(COUNT(L198:P198)&lt;5,"",ROUND((L198*25+M198*20+N198*20+O198*20+P198*15)/5,1))</x:f>
      </x:c>
      <x:c r="R198" s="18" t="str"/>
      <x:c r="S198" s="18" t="str"/>
      <x:c r="T198" s="17" t="str"/>
      <x:c r="U198" s="19"/>
    </x:row>
    <x:row r="199">
      <x:c r="A199" s="17" t="str">
        <x:v>MTS-0198</x:v>
      </x:c>
      <x:c r="B199" s="17" t="str">
        <x:v>Lens Selection Planner</x:v>
      </x:c>
      <x:c r="C199" s="17" t="str">
        <x:v>Photography and Creators</x:v>
      </x:c>
      <x:c r="D199" s="17" t="str">
        <x:v>Mobile + Web</x:v>
      </x:c>
      <x:c r="E199" s="17" t="str">
        <x:v>Photographers and creators</x:v>
      </x:c>
      <x:c r="F199" s="18" t="str">
        <x:v>Lens Selection Planner provides a focused photography and creators workflow for photographers and creators.</x:v>
      </x:c>
      <x:c r="G199" s="18" t="str">
        <x:v>Planning, Releases, Assets, Workflow</x:v>
      </x:c>
      <x:c r="H199" s="17" t="str">
        <x:v>Freemium</x:v>
      </x:c>
      <x:c r="I199" s="17" t="str">
        <x:v>Small</x:v>
      </x:c>
      <x:c r="J199" s="17" t="str">
        <x:v>New candidate</x:v>
      </x:c>
      <x:c r="K199" s="17" t="str">
        <x:v>Unreviewed</x:v>
      </x:c>
      <x:c r="L199" s="17"/>
      <x:c r="M199" s="17"/>
      <x:c r="N199" s="17"/>
      <x:c r="O199" s="17"/>
      <x:c r="P199" s="17"/>
      <x:c r="Q199" s="17" t="str">
        <x:f>IF(COUNT(L199:P199)&lt;5,"",ROUND((L199*25+M199*20+N199*20+O199*20+P199*15)/5,1))</x:f>
      </x:c>
      <x:c r="R199" s="18" t="str"/>
      <x:c r="S199" s="18" t="str"/>
      <x:c r="T199" s="17" t="str"/>
      <x:c r="U199" s="19"/>
    </x:row>
    <x:row r="200">
      <x:c r="A200" s="17" t="str">
        <x:v>MTS-0199</x:v>
      </x:c>
      <x:c r="B200" s="17" t="str">
        <x:v>Sunlight Photo Notes</x:v>
      </x:c>
      <x:c r="C200" s="17" t="str">
        <x:v>Photography and Creators</x:v>
      </x:c>
      <x:c r="D200" s="17" t="str">
        <x:v>Mobile + Web</x:v>
      </x:c>
      <x:c r="E200" s="17" t="str">
        <x:v>Photographers and creators</x:v>
      </x:c>
      <x:c r="F200" s="18" t="str">
        <x:v>Sunlight Photo Notes provides a focused photography and creators workflow for photographers and creators.</x:v>
      </x:c>
      <x:c r="G200" s="18" t="str">
        <x:v>Planning, Releases, Assets, Workflow</x:v>
      </x:c>
      <x:c r="H200" s="17" t="str">
        <x:v>Freemium</x:v>
      </x:c>
      <x:c r="I200" s="17" t="str">
        <x:v>Small</x:v>
      </x:c>
      <x:c r="J200" s="17" t="str">
        <x:v>New candidate</x:v>
      </x:c>
      <x:c r="K200" s="17" t="str">
        <x:v>Unreviewed</x:v>
      </x:c>
      <x:c r="L200" s="17"/>
      <x:c r="M200" s="17"/>
      <x:c r="N200" s="17"/>
      <x:c r="O200" s="17"/>
      <x:c r="P200" s="17"/>
      <x:c r="Q200" s="17" t="str">
        <x:f>IF(COUNT(L200:P200)&lt;5,"",ROUND((L200*25+M200*20+N200*20+O200*20+P200*15)/5,1))</x:f>
      </x:c>
      <x:c r="R200" s="18" t="str"/>
      <x:c r="S200" s="18" t="str"/>
      <x:c r="T200" s="17" t="str"/>
      <x:c r="U200" s="19"/>
    </x:row>
    <x:row r="201">
      <x:c r="A201" s="17" t="str">
        <x:v>MTS-0200</x:v>
      </x:c>
      <x:c r="B201" s="17" t="str">
        <x:v>Photo File Naming Planner</x:v>
      </x:c>
      <x:c r="C201" s="17" t="str">
        <x:v>Photography and Creators</x:v>
      </x:c>
      <x:c r="D201" s="17" t="str">
        <x:v>Mobile + Web</x:v>
      </x:c>
      <x:c r="E201" s="17" t="str">
        <x:v>Photographers and creators</x:v>
      </x:c>
      <x:c r="F201" s="18" t="str">
        <x:v>Photo File Naming Planner provides a focused photography and creators workflow for photographers and creators.</x:v>
      </x:c>
      <x:c r="G201" s="18" t="str">
        <x:v>Planning, Releases, Assets, Workflow</x:v>
      </x:c>
      <x:c r="H201" s="17" t="str">
        <x:v>Freemium</x:v>
      </x:c>
      <x:c r="I201" s="17" t="str">
        <x:v>Small</x:v>
      </x:c>
      <x:c r="J201" s="17" t="str">
        <x:v>New candidate</x:v>
      </x:c>
      <x:c r="K201" s="17" t="str">
        <x:v>Unreviewed</x:v>
      </x:c>
      <x:c r="L201" s="17"/>
      <x:c r="M201" s="17"/>
      <x:c r="N201" s="17"/>
      <x:c r="O201" s="17"/>
      <x:c r="P201" s="17"/>
      <x:c r="Q201" s="17" t="str">
        <x:f>IF(COUNT(L201:P201)&lt;5,"",ROUND((L201*25+M201*20+N201*20+O201*20+P201*15)/5,1))</x:f>
      </x:c>
      <x:c r="R201" s="18" t="str"/>
      <x:c r="S201" s="18" t="str"/>
      <x:c r="T201" s="17" t="str"/>
      <x:c r="U201" s="19"/>
    </x:row>
    <x:row r="202">
      <x:c r="A202" s="17" t="str">
        <x:v>MTS-0201</x:v>
      </x:c>
      <x:c r="B202" s="17" t="str">
        <x:v>Caption Organizer</x:v>
      </x:c>
      <x:c r="C202" s="17" t="str">
        <x:v>Photography and Creators</x:v>
      </x:c>
      <x:c r="D202" s="17" t="str">
        <x:v>Mobile + Web</x:v>
      </x:c>
      <x:c r="E202" s="17" t="str">
        <x:v>Photographers and creators</x:v>
      </x:c>
      <x:c r="F202" s="18" t="str">
        <x:v>Caption Organizer provides a focused photography and creators workflow for photographers and creators.</x:v>
      </x:c>
      <x:c r="G202" s="18" t="str">
        <x:v>Planning, Releases, Assets, Workflow</x:v>
      </x:c>
      <x:c r="H202" s="17" t="str">
        <x:v>Freemium</x:v>
      </x:c>
      <x:c r="I202" s="17" t="str">
        <x:v>Small</x:v>
      </x:c>
      <x:c r="J202" s="17" t="str">
        <x:v>New candidate</x:v>
      </x:c>
      <x:c r="K202" s="17" t="str">
        <x:v>Unreviewed</x:v>
      </x:c>
      <x:c r="L202" s="17"/>
      <x:c r="M202" s="17"/>
      <x:c r="N202" s="17"/>
      <x:c r="O202" s="17"/>
      <x:c r="P202" s="17"/>
      <x:c r="Q202" s="17" t="str">
        <x:f>IF(COUNT(L202:P202)&lt;5,"",ROUND((L202*25+M202*20+N202*20+O202*20+P202*15)/5,1))</x:f>
      </x:c>
      <x:c r="R202" s="18" t="str"/>
      <x:c r="S202" s="18" t="str"/>
      <x:c r="T202" s="17" t="str"/>
      <x:c r="U202" s="19"/>
    </x:row>
    <x:row r="203">
      <x:c r="A203" s="17" t="str">
        <x:v>MTS-0202</x:v>
      </x:c>
      <x:c r="B203" s="17" t="str">
        <x:v>Creator Content Calendar</x:v>
      </x:c>
      <x:c r="C203" s="17" t="str">
        <x:v>Photography and Creators</x:v>
      </x:c>
      <x:c r="D203" s="17" t="str">
        <x:v>Mobile + Web</x:v>
      </x:c>
      <x:c r="E203" s="17" t="str">
        <x:v>Photographers and creators</x:v>
      </x:c>
      <x:c r="F203" s="18" t="str">
        <x:v>Creator Content Calendar provides a focused photography and creators workflow for photographers and creators.</x:v>
      </x:c>
      <x:c r="G203" s="18" t="str">
        <x:v>Planning, Releases, Assets, Workflow</x:v>
      </x:c>
      <x:c r="H203" s="17" t="str">
        <x:v>Freemium</x:v>
      </x:c>
      <x:c r="I203" s="17" t="str">
        <x:v>Small</x:v>
      </x:c>
      <x:c r="J203" s="17" t="str">
        <x:v>New candidate</x:v>
      </x:c>
      <x:c r="K203" s="17" t="str">
        <x:v>Unreviewed</x:v>
      </x:c>
      <x:c r="L203" s="17"/>
      <x:c r="M203" s="17"/>
      <x:c r="N203" s="17"/>
      <x:c r="O203" s="17"/>
      <x:c r="P203" s="17"/>
      <x:c r="Q203" s="17" t="str">
        <x:f>IF(COUNT(L203:P203)&lt;5,"",ROUND((L203*25+M203*20+N203*20+O203*20+P203*15)/5,1))</x:f>
      </x:c>
      <x:c r="R203" s="18" t="str"/>
      <x:c r="S203" s="18" t="str"/>
      <x:c r="T203" s="17" t="str"/>
      <x:c r="U203" s="19"/>
    </x:row>
    <x:row r="204">
      <x:c r="A204" s="17" t="str">
        <x:v>MTS-0203</x:v>
      </x:c>
      <x:c r="B204" s="17" t="str">
        <x:v>Gallery Delivery Checklist</x:v>
      </x:c>
      <x:c r="C204" s="17" t="str">
        <x:v>Photography and Creators</x:v>
      </x:c>
      <x:c r="D204" s="17" t="str">
        <x:v>Mobile + Web</x:v>
      </x:c>
      <x:c r="E204" s="17" t="str">
        <x:v>Photographers and creators</x:v>
      </x:c>
      <x:c r="F204" s="18" t="str">
        <x:v>Gallery Delivery Checklist provides a focused photography and creators workflow for photographers and creators.</x:v>
      </x:c>
      <x:c r="G204" s="18" t="str">
        <x:v>Planning, Releases, Assets, Workflow</x:v>
      </x:c>
      <x:c r="H204" s="17" t="str">
        <x:v>Freemium</x:v>
      </x:c>
      <x:c r="I204" s="17" t="str">
        <x:v>Small</x:v>
      </x:c>
      <x:c r="J204" s="17" t="str">
        <x:v>New candidate</x:v>
      </x:c>
      <x:c r="K204" s="17" t="str">
        <x:v>Unreviewed</x:v>
      </x:c>
      <x:c r="L204" s="17"/>
      <x:c r="M204" s="17"/>
      <x:c r="N204" s="17"/>
      <x:c r="O204" s="17"/>
      <x:c r="P204" s="17"/>
      <x:c r="Q204" s="17" t="str">
        <x:f>IF(COUNT(L204:P204)&lt;5,"",ROUND((L204*25+M204*20+N204*20+O204*20+P204*15)/5,1))</x:f>
      </x:c>
      <x:c r="R204" s="18" t="str"/>
      <x:c r="S204" s="18" t="str"/>
      <x:c r="T204" s="17" t="str"/>
      <x:c r="U204" s="19"/>
    </x:row>
    <x:row r="205">
      <x:c r="A205" s="17" t="str">
        <x:v>MTS-0204</x:v>
      </x:c>
      <x:c r="B205" s="17" t="str">
        <x:v>Photography Portfolio Audit</x:v>
      </x:c>
      <x:c r="C205" s="17" t="str">
        <x:v>Photography and Creators</x:v>
      </x:c>
      <x:c r="D205" s="17" t="str">
        <x:v>Mobile + Web</x:v>
      </x:c>
      <x:c r="E205" s="17" t="str">
        <x:v>Photographers and creators</x:v>
      </x:c>
      <x:c r="F205" s="18" t="str">
        <x:v>Photography Portfolio Audit provides a focused photography and creators workflow for photographers and creators.</x:v>
      </x:c>
      <x:c r="G205" s="18" t="str">
        <x:v>Planning, Releases, Assets, Workflow</x:v>
      </x:c>
      <x:c r="H205" s="17" t="str">
        <x:v>Freemium</x:v>
      </x:c>
      <x:c r="I205" s="17" t="str">
        <x:v>Small</x:v>
      </x:c>
      <x:c r="J205" s="17" t="str">
        <x:v>New candidate</x:v>
      </x:c>
      <x:c r="K205" s="17" t="str">
        <x:v>Unreviewed</x:v>
      </x:c>
      <x:c r="L205" s="17"/>
      <x:c r="M205" s="17"/>
      <x:c r="N205" s="17"/>
      <x:c r="O205" s="17"/>
      <x:c r="P205" s="17"/>
      <x:c r="Q205" s="17" t="str">
        <x:f>IF(COUNT(L205:P205)&lt;5,"",ROUND((L205*25+M205*20+N205*20+O205*20+P205*15)/5,1))</x:f>
      </x:c>
      <x:c r="R205" s="18" t="str"/>
      <x:c r="S205" s="18" t="str"/>
      <x:c r="T205" s="17" t="str"/>
      <x:c r="U205" s="19"/>
    </x:row>
    <x:row r="206">
      <x:c r="A206" s="17" t="str">
        <x:v>MTS-0205</x:v>
      </x:c>
      <x:c r="B206" s="17" t="str">
        <x:v>Outfit Selfie Try-On</x:v>
      </x:c>
      <x:c r="C206" s="17" t="str">
        <x:v>Fashion and Virtual Try-On</x:v>
      </x:c>
      <x:c r="D206" s="17" t="str">
        <x:v>Mobile App</x:v>
      </x:c>
      <x:c r="E206" s="17" t="str">
        <x:v>Shoppers, resellers, and everyday outfit planners</x:v>
      </x:c>
      <x:c r="F206" s="18" t="str">
        <x:v>Outfit Selfie Try-On provides a focused fashion and virtual try-on workflow for shoppers, resellers, and everyday outfit planners.</x:v>
      </x:c>
      <x:c r="G206" s="18" t="str">
        <x:v>Camera, Segmentation, Closet, Outfit Preview</x:v>
      </x:c>
      <x:c r="H206" s="17" t="str">
        <x:v>Freemium + Pro</x:v>
      </x:c>
      <x:c r="I206" s="17" t="str">
        <x:v>Large</x:v>
      </x:c>
      <x:c r="J206" s="17" t="str">
        <x:v>Existing discussion/project</x:v>
      </x:c>
      <x:c r="K206" s="17" t="str">
        <x:v>Unreviewed</x:v>
      </x:c>
      <x:c r="L206" s="17"/>
      <x:c r="M206" s="17"/>
      <x:c r="N206" s="17"/>
      <x:c r="O206" s="17"/>
      <x:c r="P206" s="17"/>
      <x:c r="Q206" s="17" t="str">
        <x:f>IF(COUNT(L206:P206)&lt;5,"",ROUND((L206*25+M206*20+N206*20+O206*20+P206*15)/5,1))</x:f>
      </x:c>
      <x:c r="R206" s="18" t="str">
        <x:v>Core fashion concept: user captures an outfit photo, segments the clothing, and overlays it onto a selfie or saved body reference so they can preview the look. MVP should label results as visual previews, not size or fit guarantees.</x:v>
      </x:c>
      <x:c r="S206" s="18" t="str"/>
      <x:c r="T206" s="17" t="str"/>
      <x:c r="U206" s="19"/>
    </x:row>
    <x:row r="207">
      <x:c r="A207" s="17" t="str">
        <x:v>MTS-0206</x:v>
      </x:c>
      <x:c r="B207" s="17" t="str">
        <x:v>Closet Photo Organizer</x:v>
      </x:c>
      <x:c r="C207" s="17" t="str">
        <x:v>Fashion and Virtual Try-On</x:v>
      </x:c>
      <x:c r="D207" s="17" t="str">
        <x:v>Mobile App</x:v>
      </x:c>
      <x:c r="E207" s="17" t="str">
        <x:v>Shoppers, resellers, and everyday outfit planners</x:v>
      </x:c>
      <x:c r="F207" s="18" t="str">
        <x:v>Closet Photo Organizer provides a focused fashion and virtual try-on workflow for shoppers, resellers, and everyday outfit planners.</x:v>
      </x:c>
      <x:c r="G207" s="18" t="str">
        <x:v>Camera, Segmentation, Closet, Outfit Preview</x:v>
      </x:c>
      <x:c r="H207" s="17" t="str">
        <x:v>Freemium + Pro</x:v>
      </x:c>
      <x:c r="I207" s="17" t="str">
        <x:v>Large</x:v>
      </x:c>
      <x:c r="J207" s="17" t="str">
        <x:v>New candidate</x:v>
      </x:c>
      <x:c r="K207" s="17" t="str">
        <x:v>Unreviewed</x:v>
      </x:c>
      <x:c r="L207" s="17"/>
      <x:c r="M207" s="17"/>
      <x:c r="N207" s="17"/>
      <x:c r="O207" s="17"/>
      <x:c r="P207" s="17"/>
      <x:c r="Q207" s="17" t="str">
        <x:f>IF(COUNT(L207:P207)&lt;5,"",ROUND((L207*25+M207*20+N207*20+O207*20+P207*15)/5,1))</x:f>
      </x:c>
      <x:c r="R207" s="18" t="str">
        <x:v>Low-risk first wedge for fashion: capture garments, tag colors/categories/seasons, and prepare clean outfit assets for later try-on.</x:v>
      </x:c>
      <x:c r="S207" s="18" t="str"/>
      <x:c r="T207" s="17" t="str"/>
      <x:c r="U207" s="19"/>
    </x:row>
    <x:row r="208">
      <x:c r="A208" s="17" t="str">
        <x:v>MTS-0207</x:v>
      </x:c>
      <x:c r="B208" s="17" t="str">
        <x:v>Capsule Wardrobe Planner</x:v>
      </x:c>
      <x:c r="C208" s="17" t="str">
        <x:v>Fashion and Virtual Try-On</x:v>
      </x:c>
      <x:c r="D208" s="17" t="str">
        <x:v>Mobile App</x:v>
      </x:c>
      <x:c r="E208" s="17" t="str">
        <x:v>Shoppers, resellers, and everyday outfit planners</x:v>
      </x:c>
      <x:c r="F208" s="18" t="str">
        <x:v>Capsule Wardrobe Planner provides a focused fashion and virtual try-on workflow for shoppers, resellers, and everyday outfit planners.</x:v>
      </x:c>
      <x:c r="G208" s="18" t="str">
        <x:v>Camera, Segmentation, Closet, Outfit Preview</x:v>
      </x:c>
      <x:c r="H208" s="17" t="str">
        <x:v>Freemium + Pro</x:v>
      </x:c>
      <x:c r="I208" s="17" t="str">
        <x:v>Large</x:v>
      </x:c>
      <x:c r="J208" s="17" t="str">
        <x:v>New candidate</x:v>
      </x:c>
      <x:c r="K208" s="17" t="str">
        <x:v>Unreviewed</x:v>
      </x:c>
      <x:c r="L208" s="17"/>
      <x:c r="M208" s="17"/>
      <x:c r="N208" s="17"/>
      <x:c r="O208" s="17"/>
      <x:c r="P208" s="17"/>
      <x:c r="Q208" s="17" t="str">
        <x:f>IF(COUNT(L208:P208)&lt;5,"",ROUND((L208*25+M208*20+N208*20+O208*20+P208*15)/5,1))</x:f>
      </x:c>
      <x:c r="R208" s="18" t="str"/>
      <x:c r="S208" s="18" t="str"/>
      <x:c r="T208" s="17" t="str"/>
      <x:c r="U208" s="19"/>
    </x:row>
    <x:row r="209">
      <x:c r="A209" s="17" t="str">
        <x:v>MTS-0208</x:v>
      </x:c>
      <x:c r="B209" s="17" t="str">
        <x:v>Daily Outfit Picker</x:v>
      </x:c>
      <x:c r="C209" s="17" t="str">
        <x:v>Fashion and Virtual Try-On</x:v>
      </x:c>
      <x:c r="D209" s="17" t="str">
        <x:v>Mobile App</x:v>
      </x:c>
      <x:c r="E209" s="17" t="str">
        <x:v>Shoppers, resellers, and everyday outfit planners</x:v>
      </x:c>
      <x:c r="F209" s="18" t="str">
        <x:v>Daily Outfit Picker provides a focused fashion and virtual try-on workflow for shoppers, resellers, and everyday outfit planners.</x:v>
      </x:c>
      <x:c r="G209" s="18" t="str">
        <x:v>Camera, Segmentation, Closet, Outfit Preview</x:v>
      </x:c>
      <x:c r="H209" s="17" t="str">
        <x:v>Freemium + Pro</x:v>
      </x:c>
      <x:c r="I209" s="17" t="str">
        <x:v>Large</x:v>
      </x:c>
      <x:c r="J209" s="17" t="str">
        <x:v>New candidate</x:v>
      </x:c>
      <x:c r="K209" s="17" t="str">
        <x:v>Unreviewed</x:v>
      </x:c>
      <x:c r="L209" s="17"/>
      <x:c r="M209" s="17"/>
      <x:c r="N209" s="17"/>
      <x:c r="O209" s="17"/>
      <x:c r="P209" s="17"/>
      <x:c r="Q209" s="17" t="str">
        <x:f>IF(COUNT(L209:P209)&lt;5,"",ROUND((L209*25+M209*20+N209*20+O209*20+P209*15)/5,1))</x:f>
      </x:c>
      <x:c r="R209" s="18" t="str"/>
      <x:c r="S209" s="18" t="str"/>
      <x:c r="T209" s="17" t="str"/>
      <x:c r="U209" s="19"/>
    </x:row>
    <x:row r="210">
      <x:c r="A210" s="17" t="str">
        <x:v>MTS-0209</x:v>
      </x:c>
      <x:c r="B210" s="17" t="str">
        <x:v>Fit Comparison Camera</x:v>
      </x:c>
      <x:c r="C210" s="17" t="str">
        <x:v>Fashion and Virtual Try-On</x:v>
      </x:c>
      <x:c r="D210" s="17" t="str">
        <x:v>Mobile App</x:v>
      </x:c>
      <x:c r="E210" s="17" t="str">
        <x:v>Shoppers, resellers, and everyday outfit planners</x:v>
      </x:c>
      <x:c r="F210" s="18" t="str">
        <x:v>Fit Comparison Camera provides a focused fashion and virtual try-on workflow for shoppers, resellers, and everyday outfit planners.</x:v>
      </x:c>
      <x:c r="G210" s="18" t="str">
        <x:v>Camera, Segmentation, Closet, Outfit Preview</x:v>
      </x:c>
      <x:c r="H210" s="17" t="str">
        <x:v>Freemium + Pro</x:v>
      </x:c>
      <x:c r="I210" s="17" t="str">
        <x:v>Large</x:v>
      </x:c>
      <x:c r="J210" s="17" t="str">
        <x:v>New candidate</x:v>
      </x:c>
      <x:c r="K210" s="17" t="str">
        <x:v>Unreviewed</x:v>
      </x:c>
      <x:c r="L210" s="17"/>
      <x:c r="M210" s="17"/>
      <x:c r="N210" s="17"/>
      <x:c r="O210" s="17"/>
      <x:c r="P210" s="17"/>
      <x:c r="Q210" s="17" t="str">
        <x:f>IF(COUNT(L210:P210)&lt;5,"",ROUND((L210*25+M210*20+N210*20+O210*20+P210*15)/5,1))</x:f>
      </x:c>
      <x:c r="R210" s="18" t="str">
        <x:v>Use side-by-side and ghosted comparison views for clothing photos; avoid claims that the app can prove exact fit from a single image.</x:v>
      </x:c>
      <x:c r="S210" s="18" t="str"/>
      <x:c r="T210" s="17" t="str"/>
      <x:c r="U210" s="19"/>
    </x:row>
    <x:row r="211">
      <x:c r="A211" s="17" t="str">
        <x:v>MTS-0210</x:v>
      </x:c>
      <x:c r="B211" s="17" t="str">
        <x:v>Color Match Outfit Coach</x:v>
      </x:c>
      <x:c r="C211" s="17" t="str">
        <x:v>Fashion and Virtual Try-On</x:v>
      </x:c>
      <x:c r="D211" s="17" t="str">
        <x:v>Mobile App</x:v>
      </x:c>
      <x:c r="E211" s="17" t="str">
        <x:v>Shoppers, resellers, and everyday outfit planners</x:v>
      </x:c>
      <x:c r="F211" s="18" t="str">
        <x:v>Color Match Outfit Coach provides a focused fashion and virtual try-on workflow for shoppers, resellers, and everyday outfit planners.</x:v>
      </x:c>
      <x:c r="G211" s="18" t="str">
        <x:v>Camera, Segmentation, Closet, Outfit Preview</x:v>
      </x:c>
      <x:c r="H211" s="17" t="str">
        <x:v>Freemium + Pro</x:v>
      </x:c>
      <x:c r="I211" s="17" t="str">
        <x:v>Large</x:v>
      </x:c>
      <x:c r="J211" s="17" t="str">
        <x:v>New candidate</x:v>
      </x:c>
      <x:c r="K211" s="17" t="str">
        <x:v>Unreviewed</x:v>
      </x:c>
      <x:c r="L211" s="17"/>
      <x:c r="M211" s="17"/>
      <x:c r="N211" s="17"/>
      <x:c r="O211" s="17"/>
      <x:c r="P211" s="17"/>
      <x:c r="Q211" s="17" t="str">
        <x:f>IF(COUNT(L211:P211)&lt;5,"",ROUND((L211*25+M211*20+N211*20+O211*20+P211*15)/5,1))</x:f>
      </x:c>
      <x:c r="R211" s="18" t="str"/>
      <x:c r="S211" s="18" t="str"/>
      <x:c r="T211" s="17" t="str"/>
      <x:c r="U211" s="19"/>
    </x:row>
    <x:row r="212">
      <x:c r="A212" s="17" t="str">
        <x:v>MTS-0211</x:v>
      </x:c>
      <x:c r="B212" s="17" t="str">
        <x:v>Event Outfit Planner</x:v>
      </x:c>
      <x:c r="C212" s="17" t="str">
        <x:v>Fashion and Virtual Try-On</x:v>
      </x:c>
      <x:c r="D212" s="17" t="str">
        <x:v>Mobile App</x:v>
      </x:c>
      <x:c r="E212" s="17" t="str">
        <x:v>Shoppers, resellers, and everyday outfit planners</x:v>
      </x:c>
      <x:c r="F212" s="18" t="str">
        <x:v>Event Outfit Planner provides a focused fashion and virtual try-on workflow for shoppers, resellers, and everyday outfit planners.</x:v>
      </x:c>
      <x:c r="G212" s="18" t="str">
        <x:v>Camera, Segmentation, Closet, Outfit Preview</x:v>
      </x:c>
      <x:c r="H212" s="17" t="str">
        <x:v>Freemium + Pro</x:v>
      </x:c>
      <x:c r="I212" s="17" t="str">
        <x:v>Large</x:v>
      </x:c>
      <x:c r="J212" s="17" t="str">
        <x:v>New candidate</x:v>
      </x:c>
      <x:c r="K212" s="17" t="str">
        <x:v>Unreviewed</x:v>
      </x:c>
      <x:c r="L212" s="17"/>
      <x:c r="M212" s="17"/>
      <x:c r="N212" s="17"/>
      <x:c r="O212" s="17"/>
      <x:c r="P212" s="17"/>
      <x:c r="Q212" s="17" t="str">
        <x:f>IF(COUNT(L212:P212)&lt;5,"",ROUND((L212*25+M212*20+N212*20+O212*20+P212*15)/5,1))</x:f>
      </x:c>
      <x:c r="R212" s="18" t="str"/>
      <x:c r="S212" s="18" t="str"/>
      <x:c r="T212" s="17" t="str"/>
      <x:c r="U212" s="19"/>
    </x:row>
    <x:row r="213">
      <x:c r="A213" s="17" t="str">
        <x:v>MTS-0212</x:v>
      </x:c>
      <x:c r="B213" s="17" t="str">
        <x:v>Travel Outfit Packer</x:v>
      </x:c>
      <x:c r="C213" s="17" t="str">
        <x:v>Fashion and Virtual Try-On</x:v>
      </x:c>
      <x:c r="D213" s="17" t="str">
        <x:v>Mobile App</x:v>
      </x:c>
      <x:c r="E213" s="17" t="str">
        <x:v>Shoppers, resellers, and everyday outfit planners</x:v>
      </x:c>
      <x:c r="F213" s="18" t="str">
        <x:v>Travel Outfit Packer provides a focused fashion and virtual try-on workflow for shoppers, resellers, and everyday outfit planners.</x:v>
      </x:c>
      <x:c r="G213" s="18" t="str">
        <x:v>Camera, Segmentation, Closet, Outfit Preview</x:v>
      </x:c>
      <x:c r="H213" s="17" t="str">
        <x:v>Freemium + Pro</x:v>
      </x:c>
      <x:c r="I213" s="17" t="str">
        <x:v>Large</x:v>
      </x:c>
      <x:c r="J213" s="17" t="str">
        <x:v>New candidate</x:v>
      </x:c>
      <x:c r="K213" s="17" t="str">
        <x:v>Unreviewed</x:v>
      </x:c>
      <x:c r="L213" s="17"/>
      <x:c r="M213" s="17"/>
      <x:c r="N213" s="17"/>
      <x:c r="O213" s="17"/>
      <x:c r="P213" s="17"/>
      <x:c r="Q213" s="17" t="str">
        <x:f>IF(COUNT(L213:P213)&lt;5,"",ROUND((L213*25+M213*20+N213*20+O213*20+P213*15)/5,1))</x:f>
      </x:c>
      <x:c r="R213" s="18" t="str"/>
      <x:c r="S213" s="18" t="str"/>
      <x:c r="T213" s="17" t="str"/>
      <x:c r="U213" s="19"/>
    </x:row>
    <x:row r="214">
      <x:c r="A214" s="17" t="str">
        <x:v>MTS-0213</x:v>
      </x:c>
      <x:c r="B214" s="17" t="str">
        <x:v>Resale Outfit Preview</x:v>
      </x:c>
      <x:c r="C214" s="17" t="str">
        <x:v>Fashion and Virtual Try-On</x:v>
      </x:c>
      <x:c r="D214" s="17" t="str">
        <x:v>Mobile App</x:v>
      </x:c>
      <x:c r="E214" s="17" t="str">
        <x:v>Shoppers, resellers, and everyday outfit planners</x:v>
      </x:c>
      <x:c r="F214" s="18" t="str">
        <x:v>Resale Outfit Preview provides a focused fashion and virtual try-on workflow for shoppers, resellers, and everyday outfit planners.</x:v>
      </x:c>
      <x:c r="G214" s="18" t="str">
        <x:v>Camera, Segmentation, Closet, Outfit Preview</x:v>
      </x:c>
      <x:c r="H214" s="17" t="str">
        <x:v>Freemium + Pro</x:v>
      </x:c>
      <x:c r="I214" s="17" t="str">
        <x:v>Large</x:v>
      </x:c>
      <x:c r="J214" s="17" t="str">
        <x:v>New candidate</x:v>
      </x:c>
      <x:c r="K214" s="17" t="str">
        <x:v>Unreviewed</x:v>
      </x:c>
      <x:c r="L214" s="17"/>
      <x:c r="M214" s="17"/>
      <x:c r="N214" s="17"/>
      <x:c r="O214" s="17"/>
      <x:c r="P214" s="17"/>
      <x:c r="Q214" s="17" t="str">
        <x:f>IF(COUNT(L214:P214)&lt;5,"",ROUND((L214*25+M214*20+N214*20+O214*20+P214*15)/5,1))</x:f>
      </x:c>
      <x:c r="R214" s="18" t="str">
        <x:v>Useful reseller angle: combine product photos with a model/selfie preview and listing assets, with clear disclosure if imagery is composited.</x:v>
      </x:c>
      <x:c r="S214" s="18" t="str"/>
      <x:c r="T214" s="17" t="str"/>
      <x:c r="U214" s="19"/>
    </x:row>
    <x:row r="215">
      <x:c r="A215" s="17" t="str">
        <x:v>MTS-0214</x:v>
      </x:c>
      <x:c r="B215" s="17" t="str">
        <x:v>Laundry Rotation Tracker</x:v>
      </x:c>
      <x:c r="C215" s="17" t="str">
        <x:v>Fashion and Virtual Try-On</x:v>
      </x:c>
      <x:c r="D215" s="17" t="str">
        <x:v>Mobile App</x:v>
      </x:c>
      <x:c r="E215" s="17" t="str">
        <x:v>Shoppers, resellers, and everyday outfit planners</x:v>
      </x:c>
      <x:c r="F215" s="18" t="str">
        <x:v>Laundry Rotation Tracker provides a focused fashion and virtual try-on workflow for shoppers, resellers, and everyday outfit planners.</x:v>
      </x:c>
      <x:c r="G215" s="18" t="str">
        <x:v>Camera, Segmentation, Closet, Outfit Preview</x:v>
      </x:c>
      <x:c r="H215" s="17" t="str">
        <x:v>Freemium + Pro</x:v>
      </x:c>
      <x:c r="I215" s="17" t="str">
        <x:v>Large</x:v>
      </x:c>
      <x:c r="J215" s="17" t="str">
        <x:v>New candidate</x:v>
      </x:c>
      <x:c r="K215" s="17" t="str">
        <x:v>Unreviewed</x:v>
      </x:c>
      <x:c r="L215" s="17"/>
      <x:c r="M215" s="17"/>
      <x:c r="N215" s="17"/>
      <x:c r="O215" s="17"/>
      <x:c r="P215" s="17"/>
      <x:c r="Q215" s="17" t="str">
        <x:f>IF(COUNT(L215:P215)&lt;5,"",ROUND((L215*25+M215*20+N215*20+O215*20+P215*15)/5,1))</x:f>
      </x:c>
      <x:c r="R215" s="18" t="str"/>
      <x:c r="S215" s="18" t="str"/>
      <x:c r="T215" s="17" t="str"/>
      <x:c r="U215" s="19"/>
    </x:row>
    <x:row r="216">
      <x:c r="A216" s="17" t="str">
        <x:v>MTS-0215</x:v>
      </x:c>
      <x:c r="B216" s="17" t="str">
        <x:v>Style Board Builder</x:v>
      </x:c>
      <x:c r="C216" s="17" t="str">
        <x:v>Fashion and Virtual Try-On</x:v>
      </x:c>
      <x:c r="D216" s="17" t="str">
        <x:v>Mobile App</x:v>
      </x:c>
      <x:c r="E216" s="17" t="str">
        <x:v>Shoppers, resellers, and everyday outfit planners</x:v>
      </x:c>
      <x:c r="F216" s="18" t="str">
        <x:v>Style Board Builder provides a focused fashion and virtual try-on workflow for shoppers, resellers, and everyday outfit planners.</x:v>
      </x:c>
      <x:c r="G216" s="18" t="str">
        <x:v>Camera, Segmentation, Closet, Outfit Preview</x:v>
      </x:c>
      <x:c r="H216" s="17" t="str">
        <x:v>Freemium + Pro</x:v>
      </x:c>
      <x:c r="I216" s="17" t="str">
        <x:v>Large</x:v>
      </x:c>
      <x:c r="J216" s="17" t="str">
        <x:v>New candidate</x:v>
      </x:c>
      <x:c r="K216" s="17" t="str">
        <x:v>Unreviewed</x:v>
      </x:c>
      <x:c r="L216" s="17"/>
      <x:c r="M216" s="17"/>
      <x:c r="N216" s="17"/>
      <x:c r="O216" s="17"/>
      <x:c r="P216" s="17"/>
      <x:c r="Q216" s="17" t="str">
        <x:f>IF(COUNT(L216:P216)&lt;5,"",ROUND((L216*25+M216*20+N216*20+O216*20+P216*15)/5,1))</x:f>
      </x:c>
      <x:c r="R216" s="18" t="str"/>
      <x:c r="S216" s="18" t="str"/>
      <x:c r="T216" s="17" t="str"/>
      <x:c r="U216" s="19"/>
    </x:row>
    <x:row r="217">
      <x:c r="A217" s="17" t="str">
        <x:v>MTS-0216</x:v>
      </x:c>
      <x:c r="B217" s="17" t="str">
        <x:v>Size Notes Wardrobe</x:v>
      </x:c>
      <x:c r="C217" s="17" t="str">
        <x:v>Fashion and Virtual Try-On</x:v>
      </x:c>
      <x:c r="D217" s="17" t="str">
        <x:v>Mobile App</x:v>
      </x:c>
      <x:c r="E217" s="17" t="str">
        <x:v>Shoppers, resellers, and everyday outfit planners</x:v>
      </x:c>
      <x:c r="F217" s="18" t="str">
        <x:v>Size Notes Wardrobe provides a focused fashion and virtual try-on workflow for shoppers, resellers, and everyday outfit planners.</x:v>
      </x:c>
      <x:c r="G217" s="18" t="str">
        <x:v>Camera, Segmentation, Closet, Outfit Preview</x:v>
      </x:c>
      <x:c r="H217" s="17" t="str">
        <x:v>Freemium + Pro</x:v>
      </x:c>
      <x:c r="I217" s="17" t="str">
        <x:v>Large</x:v>
      </x:c>
      <x:c r="J217" s="17" t="str">
        <x:v>New candidate</x:v>
      </x:c>
      <x:c r="K217" s="17" t="str">
        <x:v>Unreviewed</x:v>
      </x:c>
      <x:c r="L217" s="17"/>
      <x:c r="M217" s="17"/>
      <x:c r="N217" s="17"/>
      <x:c r="O217" s="17"/>
      <x:c r="P217" s="17"/>
      <x:c r="Q217" s="17" t="str">
        <x:f>IF(COUNT(L217:P217)&lt;5,"",ROUND((L217*25+M217*20+N217*20+O217*20+P217*15)/5,1))</x:f>
      </x:c>
      <x:c r="R217" s="18" t="str">
        <x:v>Practical companion feature: store brand-by-brand sizing notes, measurements, returns, and personal fit ratings without pretending to infer sizing automatically.</x:v>
      </x:c>
      <x:c r="S217" s="18" t="str"/>
      <x:c r="T217" s="17" t="str"/>
      <x:c r="U217" s="19"/>
    </x:row>
    <x:row r="218">
      <x:c r="A218" s="17" t="str">
        <x:v>MTS-0217</x:v>
      </x:c>
      <x:c r="B218" s="17" t="str">
        <x:v>Mobile Notary Companion</x:v>
      </x:c>
      <x:c r="C218" s="17" t="str">
        <x:v>Notary Operations</x:v>
      </x:c>
      <x:c r="D218" s="17" t="str">
        <x:v>Mobile + SaaS</x:v>
      </x:c>
      <x:c r="E218" s="17" t="str">
        <x:v>Mobile notaries</x:v>
      </x:c>
      <x:c r="F218" s="18" t="str">
        <x:v>Mobile Notary Companion provides a focused notary operations workflow for mobile notaries.</x:v>
      </x:c>
      <x:c r="G218" s="18" t="str">
        <x:v>Appointments, Mileage, Checklist, Reports</x:v>
      </x:c>
      <x:c r="H218" s="17" t="str">
        <x:v>Subscription</x:v>
      </x:c>
      <x:c r="I218" s="17" t="str">
        <x:v>Medium</x:v>
      </x:c>
      <x:c r="J218" s="17" t="str">
        <x:v>New candidate</x:v>
      </x:c>
      <x:c r="K218" s="17" t="str">
        <x:v>Unreviewed</x:v>
      </x:c>
      <x:c r="L218" s="17"/>
      <x:c r="M218" s="17"/>
      <x:c r="N218" s="17"/>
      <x:c r="O218" s="17"/>
      <x:c r="P218" s="17"/>
      <x:c r="Q218" s="17" t="str">
        <x:f>IF(COUNT(L218:P218)&lt;5,"",ROUND((L218*25+M218*20+N218*20+O218*20+P218*15)/5,1))</x:f>
      </x:c>
      <x:c r="R218" s="18" t="str"/>
      <x:c r="S218" s="18" t="str"/>
      <x:c r="T218" s="17" t="str"/>
      <x:c r="U218" s="19"/>
    </x:row>
    <x:row r="219">
      <x:c r="A219" s="17" t="str">
        <x:v>MTS-0218</x:v>
      </x:c>
      <x:c r="B219" s="17" t="str">
        <x:v>Notary Journal Assistant</x:v>
      </x:c>
      <x:c r="C219" s="17" t="str">
        <x:v>Notary Operations</x:v>
      </x:c>
      <x:c r="D219" s="17" t="str">
        <x:v>Mobile + SaaS</x:v>
      </x:c>
      <x:c r="E219" s="17" t="str">
        <x:v>Mobile notaries</x:v>
      </x:c>
      <x:c r="F219" s="18" t="str">
        <x:v>Notary Journal Assistant provides a focused notary operations workflow for mobile notaries.</x:v>
      </x:c>
      <x:c r="G219" s="18" t="str">
        <x:v>Appointments, Mileage, Checklist, Reports</x:v>
      </x:c>
      <x:c r="H219" s="17" t="str">
        <x:v>Subscription</x:v>
      </x:c>
      <x:c r="I219" s="17" t="str">
        <x:v>Medium</x:v>
      </x:c>
      <x:c r="J219" s="17" t="str">
        <x:v>New candidate</x:v>
      </x:c>
      <x:c r="K219" s="17" t="str">
        <x:v>Unreviewed</x:v>
      </x:c>
      <x:c r="L219" s="17"/>
      <x:c r="M219" s="17"/>
      <x:c r="N219" s="17"/>
      <x:c r="O219" s="17"/>
      <x:c r="P219" s="17"/>
      <x:c r="Q219" s="17" t="str">
        <x:f>IF(COUNT(L219:P219)&lt;5,"",ROUND((L219*25+M219*20+N219*20+O219*20+P219*15)/5,1))</x:f>
      </x:c>
      <x:c r="R219" s="18" t="str"/>
      <x:c r="S219" s="18" t="str"/>
      <x:c r="T219" s="17" t="str"/>
      <x:c r="U219" s="19"/>
    </x:row>
    <x:row r="220">
      <x:c r="A220" s="17" t="str">
        <x:v>MTS-0219</x:v>
      </x:c>
      <x:c r="B220" s="17" t="str">
        <x:v>Notary Mileage and Fee Log</x:v>
      </x:c>
      <x:c r="C220" s="17" t="str">
        <x:v>Notary Operations</x:v>
      </x:c>
      <x:c r="D220" s="17" t="str">
        <x:v>Mobile + SaaS</x:v>
      </x:c>
      <x:c r="E220" s="17" t="str">
        <x:v>Mobile notaries</x:v>
      </x:c>
      <x:c r="F220" s="18" t="str">
        <x:v>Notary Mileage and Fee Log provides a focused notary operations workflow for mobile notaries.</x:v>
      </x:c>
      <x:c r="G220" s="18" t="str">
        <x:v>Appointments, Mileage, Checklist, Reports</x:v>
      </x:c>
      <x:c r="H220" s="17" t="str">
        <x:v>Subscription</x:v>
      </x:c>
      <x:c r="I220" s="17" t="str">
        <x:v>Medium</x:v>
      </x:c>
      <x:c r="J220" s="17" t="str">
        <x:v>New candidate</x:v>
      </x:c>
      <x:c r="K220" s="17" t="str">
        <x:v>Unreviewed</x:v>
      </x:c>
      <x:c r="L220" s="17"/>
      <x:c r="M220" s="17"/>
      <x:c r="N220" s="17"/>
      <x:c r="O220" s="17"/>
      <x:c r="P220" s="17"/>
      <x:c r="Q220" s="17" t="str">
        <x:f>IF(COUNT(L220:P220)&lt;5,"",ROUND((L220*25+M220*20+N220*20+O220*20+P220*15)/5,1))</x:f>
      </x:c>
      <x:c r="R220" s="18" t="str"/>
      <x:c r="S220" s="18" t="str"/>
      <x:c r="T220" s="17" t="str"/>
      <x:c r="U220" s="19"/>
    </x:row>
    <x:row r="221">
      <x:c r="A221" s="17" t="str">
        <x:v>MTS-0220</x:v>
      </x:c>
      <x:c r="B221" s="17" t="str">
        <x:v>Appointment Document Checklist</x:v>
      </x:c>
      <x:c r="C221" s="17" t="str">
        <x:v>Notary Operations</x:v>
      </x:c>
      <x:c r="D221" s="17" t="str">
        <x:v>Mobile + SaaS</x:v>
      </x:c>
      <x:c r="E221" s="17" t="str">
        <x:v>Mobile notaries</x:v>
      </x:c>
      <x:c r="F221" s="18" t="str">
        <x:v>Appointment Document Checklist provides a focused notary operations workflow for mobile notaries.</x:v>
      </x:c>
      <x:c r="G221" s="18" t="str">
        <x:v>Appointments, Mileage, Checklist, Reports</x:v>
      </x:c>
      <x:c r="H221" s="17" t="str">
        <x:v>Subscription</x:v>
      </x:c>
      <x:c r="I221" s="17" t="str">
        <x:v>Medium</x:v>
      </x:c>
      <x:c r="J221" s="17" t="str">
        <x:v>New candidate</x:v>
      </x:c>
      <x:c r="K221" s="17" t="str">
        <x:v>Unreviewed</x:v>
      </x:c>
      <x:c r="L221" s="17"/>
      <x:c r="M221" s="17"/>
      <x:c r="N221" s="17"/>
      <x:c r="O221" s="17"/>
      <x:c r="P221" s="17"/>
      <x:c r="Q221" s="17" t="str">
        <x:f>IF(COUNT(L221:P221)&lt;5,"",ROUND((L221*25+M221*20+N221*20+O221*20+P221*15)/5,1))</x:f>
      </x:c>
      <x:c r="R221" s="18" t="str"/>
      <x:c r="S221" s="18" t="str"/>
      <x:c r="T221" s="17" t="str"/>
      <x:c r="U221" s="19"/>
    </x:row>
    <x:row r="222">
      <x:c r="A222" s="17" t="str">
        <x:v>MTS-0221</x:v>
      </x:c>
      <x:c r="B222" s="17" t="str">
        <x:v>Signer Appointment Reminder</x:v>
      </x:c>
      <x:c r="C222" s="17" t="str">
        <x:v>Notary Operations</x:v>
      </x:c>
      <x:c r="D222" s="17" t="str">
        <x:v>Mobile + SaaS</x:v>
      </x:c>
      <x:c r="E222" s="17" t="str">
        <x:v>Mobile notaries</x:v>
      </x:c>
      <x:c r="F222" s="18" t="str">
        <x:v>Signer Appointment Reminder provides a focused notary operations workflow for mobile notaries.</x:v>
      </x:c>
      <x:c r="G222" s="18" t="str">
        <x:v>Appointments, Mileage, Checklist, Reports</x:v>
      </x:c>
      <x:c r="H222" s="17" t="str">
        <x:v>Subscription</x:v>
      </x:c>
      <x:c r="I222" s="17" t="str">
        <x:v>Medium</x:v>
      </x:c>
      <x:c r="J222" s="17" t="str">
        <x:v>New candidate</x:v>
      </x:c>
      <x:c r="K222" s="17" t="str">
        <x:v>Unreviewed</x:v>
      </x:c>
      <x:c r="L222" s="17"/>
      <x:c r="M222" s="17"/>
      <x:c r="N222" s="17"/>
      <x:c r="O222" s="17"/>
      <x:c r="P222" s="17"/>
      <x:c r="Q222" s="17" t="str">
        <x:f>IF(COUNT(L222:P222)&lt;5,"",ROUND((L222*25+M222*20+N222*20+O222*20+P222*15)/5,1))</x:f>
      </x:c>
      <x:c r="R222" s="18" t="str"/>
      <x:c r="S222" s="18" t="str"/>
      <x:c r="T222" s="17" t="str"/>
      <x:c r="U222" s="19"/>
    </x:row>
    <x:row r="223">
      <x:c r="A223" s="17" t="str">
        <x:v>MTS-0222</x:v>
      </x:c>
      <x:c r="B223" s="17" t="str">
        <x:v>Notary Travel Fee Estimator</x:v>
      </x:c>
      <x:c r="C223" s="17" t="str">
        <x:v>Notary Operations</x:v>
      </x:c>
      <x:c r="D223" s="17" t="str">
        <x:v>Mobile + SaaS</x:v>
      </x:c>
      <x:c r="E223" s="17" t="str">
        <x:v>Mobile notaries</x:v>
      </x:c>
      <x:c r="F223" s="18" t="str">
        <x:v>Notary Travel Fee Estimator provides a focused notary operations workflow for mobile notaries.</x:v>
      </x:c>
      <x:c r="G223" s="18" t="str">
        <x:v>Appointments, Mileage, Checklist, Reports</x:v>
      </x:c>
      <x:c r="H223" s="17" t="str">
        <x:v>Subscription</x:v>
      </x:c>
      <x:c r="I223" s="17" t="str">
        <x:v>Medium</x:v>
      </x:c>
      <x:c r="J223" s="17" t="str">
        <x:v>New candidate</x:v>
      </x:c>
      <x:c r="K223" s="17" t="str">
        <x:v>Unreviewed</x:v>
      </x:c>
      <x:c r="L223" s="17"/>
      <x:c r="M223" s="17"/>
      <x:c r="N223" s="17"/>
      <x:c r="O223" s="17"/>
      <x:c r="P223" s="17"/>
      <x:c r="Q223" s="17" t="str">
        <x:f>IF(COUNT(L223:P223)&lt;5,"",ROUND((L223*25+M223*20+N223*20+O223*20+P223*15)/5,1))</x:f>
      </x:c>
      <x:c r="R223" s="18" t="str"/>
      <x:c r="S223" s="18" t="str"/>
      <x:c r="T223" s="17" t="str"/>
      <x:c r="U223" s="19"/>
    </x:row>
    <x:row r="224">
      <x:c r="A224" s="17" t="str">
        <x:v>MTS-0223</x:v>
      </x:c>
      <x:c r="B224" s="17" t="str">
        <x:v>Document Pickup Proof</x:v>
      </x:c>
      <x:c r="C224" s="17" t="str">
        <x:v>Notary Operations</x:v>
      </x:c>
      <x:c r="D224" s="17" t="str">
        <x:v>Mobile + SaaS</x:v>
      </x:c>
      <x:c r="E224" s="17" t="str">
        <x:v>Mobile notaries</x:v>
      </x:c>
      <x:c r="F224" s="18" t="str">
        <x:v>Document Pickup Proof provides a focused notary operations workflow for mobile notaries.</x:v>
      </x:c>
      <x:c r="G224" s="18" t="str">
        <x:v>Appointments, Mileage, Checklist, Reports</x:v>
      </x:c>
      <x:c r="H224" s="17" t="str">
        <x:v>Subscription</x:v>
      </x:c>
      <x:c r="I224" s="17" t="str">
        <x:v>Medium</x:v>
      </x:c>
      <x:c r="J224" s="17" t="str">
        <x:v>New candidate</x:v>
      </x:c>
      <x:c r="K224" s="17" t="str">
        <x:v>Unreviewed</x:v>
      </x:c>
      <x:c r="L224" s="17"/>
      <x:c r="M224" s="17"/>
      <x:c r="N224" s="17"/>
      <x:c r="O224" s="17"/>
      <x:c r="P224" s="17"/>
      <x:c r="Q224" s="17" t="str">
        <x:f>IF(COUNT(L224:P224)&lt;5,"",ROUND((L224*25+M224*20+N224*20+O224*20+P224*15)/5,1))</x:f>
      </x:c>
      <x:c r="R224" s="18" t="str"/>
      <x:c r="S224" s="18" t="str"/>
      <x:c r="T224" s="17" t="str"/>
      <x:c r="U224" s="19"/>
    </x:row>
    <x:row r="225">
      <x:c r="A225" s="17" t="str">
        <x:v>MTS-0224</x:v>
      </x:c>
      <x:c r="B225" s="17" t="str">
        <x:v>Commission Renewal Tracker</x:v>
      </x:c>
      <x:c r="C225" s="17" t="str">
        <x:v>Notary Operations</x:v>
      </x:c>
      <x:c r="D225" s="17" t="str">
        <x:v>Mobile + SaaS</x:v>
      </x:c>
      <x:c r="E225" s="17" t="str">
        <x:v>Mobile notaries</x:v>
      </x:c>
      <x:c r="F225" s="18" t="str">
        <x:v>Commission Renewal Tracker provides a focused notary operations workflow for mobile notaries.</x:v>
      </x:c>
      <x:c r="G225" s="18" t="str">
        <x:v>Appointments, Mileage, Checklist, Reports</x:v>
      </x:c>
      <x:c r="H225" s="17" t="str">
        <x:v>Subscription</x:v>
      </x:c>
      <x:c r="I225" s="17" t="str">
        <x:v>Medium</x:v>
      </x:c>
      <x:c r="J225" s="17" t="str">
        <x:v>New candidate</x:v>
      </x:c>
      <x:c r="K225" s="17" t="str">
        <x:v>Unreviewed</x:v>
      </x:c>
      <x:c r="L225" s="17"/>
      <x:c r="M225" s="17"/>
      <x:c r="N225" s="17"/>
      <x:c r="O225" s="17"/>
      <x:c r="P225" s="17"/>
      <x:c r="Q225" s="17" t="str">
        <x:f>IF(COUNT(L225:P225)&lt;5,"",ROUND((L225*25+M225*20+N225*20+O225*20+P225*15)/5,1))</x:f>
      </x:c>
      <x:c r="R225" s="18" t="str"/>
      <x:c r="S225" s="18" t="str"/>
      <x:c r="T225" s="17" t="str"/>
      <x:c r="U225" s="19"/>
    </x:row>
    <x:row r="226">
      <x:c r="A226" s="17" t="str">
        <x:v>MTS-0225</x:v>
      </x:c>
      <x:c r="B226" s="17" t="str">
        <x:v>Notary Supply Inventory</x:v>
      </x:c>
      <x:c r="C226" s="17" t="str">
        <x:v>Notary Operations</x:v>
      </x:c>
      <x:c r="D226" s="17" t="str">
        <x:v>Mobile + SaaS</x:v>
      </x:c>
      <x:c r="E226" s="17" t="str">
        <x:v>Mobile notaries</x:v>
      </x:c>
      <x:c r="F226" s="18" t="str">
        <x:v>Notary Supply Inventory provides a focused notary operations workflow for mobile notaries.</x:v>
      </x:c>
      <x:c r="G226" s="18" t="str">
        <x:v>Appointments, Mileage, Checklist, Reports</x:v>
      </x:c>
      <x:c r="H226" s="17" t="str">
        <x:v>Subscription</x:v>
      </x:c>
      <x:c r="I226" s="17" t="str">
        <x:v>Medium</x:v>
      </x:c>
      <x:c r="J226" s="17" t="str">
        <x:v>New candidate</x:v>
      </x:c>
      <x:c r="K226" s="17" t="str">
        <x:v>Unreviewed</x:v>
      </x:c>
      <x:c r="L226" s="17"/>
      <x:c r="M226" s="17"/>
      <x:c r="N226" s="17"/>
      <x:c r="O226" s="17"/>
      <x:c r="P226" s="17"/>
      <x:c r="Q226" s="17" t="str">
        <x:f>IF(COUNT(L226:P226)&lt;5,"",ROUND((L226*25+M226*20+N226*20+O226*20+P226*15)/5,1))</x:f>
      </x:c>
      <x:c r="R226" s="18" t="str"/>
      <x:c r="S226" s="18" t="str"/>
      <x:c r="T226" s="17" t="str"/>
      <x:c r="U226" s="19"/>
    </x:row>
    <x:row r="227">
      <x:c r="A227" s="17" t="str">
        <x:v>MTS-0226</x:v>
      </x:c>
      <x:c r="B227" s="17" t="str">
        <x:v>Loan Signing Checklist</x:v>
      </x:c>
      <x:c r="C227" s="17" t="str">
        <x:v>Notary Operations</x:v>
      </x:c>
      <x:c r="D227" s="17" t="str">
        <x:v>Mobile + SaaS</x:v>
      </x:c>
      <x:c r="E227" s="17" t="str">
        <x:v>Mobile notaries</x:v>
      </x:c>
      <x:c r="F227" s="18" t="str">
        <x:v>Loan Signing Checklist provides a focused notary operations workflow for mobile notaries.</x:v>
      </x:c>
      <x:c r="G227" s="18" t="str">
        <x:v>Appointments, Mileage, Checklist, Reports</x:v>
      </x:c>
      <x:c r="H227" s="17" t="str">
        <x:v>Subscription</x:v>
      </x:c>
      <x:c r="I227" s="17" t="str">
        <x:v>Medium</x:v>
      </x:c>
      <x:c r="J227" s="17" t="str">
        <x:v>New candidate</x:v>
      </x:c>
      <x:c r="K227" s="17" t="str">
        <x:v>Unreviewed</x:v>
      </x:c>
      <x:c r="L227" s="17"/>
      <x:c r="M227" s="17"/>
      <x:c r="N227" s="17"/>
      <x:c r="O227" s="17"/>
      <x:c r="P227" s="17"/>
      <x:c r="Q227" s="17" t="str">
        <x:f>IF(COUNT(L227:P227)&lt;5,"",ROUND((L227*25+M227*20+N227*20+O227*20+P227*15)/5,1))</x:f>
      </x:c>
      <x:c r="R227" s="18" t="str"/>
      <x:c r="S227" s="18" t="str"/>
      <x:c r="T227" s="17" t="str"/>
      <x:c r="U227" s="19"/>
    </x:row>
    <x:row r="228">
      <x:c r="A228" s="17" t="str">
        <x:v>MTS-0227</x:v>
      </x:c>
      <x:c r="B228" s="17" t="str">
        <x:v>Apostille Intake Organizer</x:v>
      </x:c>
      <x:c r="C228" s="17" t="str">
        <x:v>Notary Operations</x:v>
      </x:c>
      <x:c r="D228" s="17" t="str">
        <x:v>Mobile + SaaS</x:v>
      </x:c>
      <x:c r="E228" s="17" t="str">
        <x:v>Mobile notaries</x:v>
      </x:c>
      <x:c r="F228" s="18" t="str">
        <x:v>Apostille Intake Organizer provides a focused notary operations workflow for mobile notaries.</x:v>
      </x:c>
      <x:c r="G228" s="18" t="str">
        <x:v>Appointments, Mileage, Checklist, Reports</x:v>
      </x:c>
      <x:c r="H228" s="17" t="str">
        <x:v>Subscription</x:v>
      </x:c>
      <x:c r="I228" s="17" t="str">
        <x:v>Medium</x:v>
      </x:c>
      <x:c r="J228" s="17" t="str">
        <x:v>New candidate</x:v>
      </x:c>
      <x:c r="K228" s="17" t="str">
        <x:v>Unreviewed</x:v>
      </x:c>
      <x:c r="L228" s="17"/>
      <x:c r="M228" s="17"/>
      <x:c r="N228" s="17"/>
      <x:c r="O228" s="17"/>
      <x:c r="P228" s="17"/>
      <x:c r="Q228" s="17" t="str">
        <x:f>IF(COUNT(L228:P228)&lt;5,"",ROUND((L228*25+M228*20+N228*20+O228*20+P228*15)/5,1))</x:f>
      </x:c>
      <x:c r="R228" s="18" t="str"/>
      <x:c r="S228" s="18" t="str"/>
      <x:c r="T228" s="17" t="str"/>
      <x:c r="U228" s="19"/>
    </x:row>
    <x:row r="229">
      <x:c r="A229" s="17" t="str">
        <x:v>MTS-0228</x:v>
      </x:c>
      <x:c r="B229" s="17" t="str">
        <x:v>Mobile Notary Route Planner</x:v>
      </x:c>
      <x:c r="C229" s="17" t="str">
        <x:v>Notary Operations</x:v>
      </x:c>
      <x:c r="D229" s="17" t="str">
        <x:v>Mobile + SaaS</x:v>
      </x:c>
      <x:c r="E229" s="17" t="str">
        <x:v>Mobile notaries</x:v>
      </x:c>
      <x:c r="F229" s="18" t="str">
        <x:v>Mobile Notary Route Planner provides a focused notary operations workflow for mobile notaries.</x:v>
      </x:c>
      <x:c r="G229" s="18" t="str">
        <x:v>Appointments, Mileage, Checklist, Reports</x:v>
      </x:c>
      <x:c r="H229" s="17" t="str">
        <x:v>Subscription</x:v>
      </x:c>
      <x:c r="I229" s="17" t="str">
        <x:v>Medium</x:v>
      </x:c>
      <x:c r="J229" s="17" t="str">
        <x:v>New candidate</x:v>
      </x:c>
      <x:c r="K229" s="17" t="str">
        <x:v>Unreviewed</x:v>
      </x:c>
      <x:c r="L229" s="17"/>
      <x:c r="M229" s="17"/>
      <x:c r="N229" s="17"/>
      <x:c r="O229" s="17"/>
      <x:c r="P229" s="17"/>
      <x:c r="Q229" s="17" t="str">
        <x:f>IF(COUNT(L229:P229)&lt;5,"",ROUND((L229*25+M229*20+N229*20+O229*20+P229*15)/5,1))</x:f>
      </x:c>
      <x:c r="R229" s="18" t="str"/>
      <x:c r="S229" s="18" t="str"/>
      <x:c r="T229" s="17" t="str"/>
      <x:c r="U229" s="19"/>
    </x:row>
    <x:row r="230">
      <x:c r="A230" s="17" t="str">
        <x:v>MTS-0229</x:v>
      </x:c>
      <x:c r="B230" s="17" t="str">
        <x:v>Generator Runtime Calculator</x:v>
      </x:c>
      <x:c r="C230" s="17" t="str">
        <x:v>Safety and Emergency</x:v>
      </x:c>
      <x:c r="D230" s="17" t="str">
        <x:v>Mobile App</x:v>
      </x:c>
      <x:c r="E230" s="17" t="str">
        <x:v>Households and field teams</x:v>
      </x:c>
      <x:c r="F230" s="18" t="str">
        <x:v>Generator Runtime Calculator provides a focused safety and emergency workflow for households and field teams.</x:v>
      </x:c>
      <x:c r="G230" s="18" t="str">
        <x:v>Offline Data, Checklists, Alerts, Reports</x:v>
      </x:c>
      <x:c r="H230" s="17" t="str">
        <x:v>Paid + Pro</x:v>
      </x:c>
      <x:c r="I230" s="17" t="str">
        <x:v>Medium</x:v>
      </x:c>
      <x:c r="J230" s="17" t="str">
        <x:v>New candidate</x:v>
      </x:c>
      <x:c r="K230" s="17" t="str">
        <x:v>Unreviewed</x:v>
      </x:c>
      <x:c r="L230" s="17"/>
      <x:c r="M230" s="17"/>
      <x:c r="N230" s="17"/>
      <x:c r="O230" s="17"/>
      <x:c r="P230" s="17"/>
      <x:c r="Q230" s="17" t="str">
        <x:f>IF(COUNT(L230:P230)&lt;5,"",ROUND((L230*25+M230*20+N230*20+O230*20+P230*15)/5,1))</x:f>
      </x:c>
      <x:c r="R230" s="18" t="str"/>
      <x:c r="S230" s="18" t="str"/>
      <x:c r="T230" s="17" t="str"/>
      <x:c r="U230" s="19"/>
    </x:row>
    <x:row r="231">
      <x:c r="A231" s="17" t="str">
        <x:v>MTS-0230</x:v>
      </x:c>
      <x:c r="B231" s="17" t="str">
        <x:v>Evacuation Checklist Offline</x:v>
      </x:c>
      <x:c r="C231" s="17" t="str">
        <x:v>Safety and Emergency</x:v>
      </x:c>
      <x:c r="D231" s="17" t="str">
        <x:v>Mobile App</x:v>
      </x:c>
      <x:c r="E231" s="17" t="str">
        <x:v>Households and field teams</x:v>
      </x:c>
      <x:c r="F231" s="18" t="str">
        <x:v>Evacuation Checklist Offline provides a focused safety and emergency workflow for households and field teams.</x:v>
      </x:c>
      <x:c r="G231" s="18" t="str">
        <x:v>Offline Data, Checklists, Alerts, Reports</x:v>
      </x:c>
      <x:c r="H231" s="17" t="str">
        <x:v>Paid + Pro</x:v>
      </x:c>
      <x:c r="I231" s="17" t="str">
        <x:v>Medium</x:v>
      </x:c>
      <x:c r="J231" s="17" t="str">
        <x:v>New candidate</x:v>
      </x:c>
      <x:c r="K231" s="17" t="str">
        <x:v>Unreviewed</x:v>
      </x:c>
      <x:c r="L231" s="17"/>
      <x:c r="M231" s="17"/>
      <x:c r="N231" s="17"/>
      <x:c r="O231" s="17"/>
      <x:c r="P231" s="17"/>
      <x:c r="Q231" s="17" t="str">
        <x:f>IF(COUNT(L231:P231)&lt;5,"",ROUND((L231*25+M231*20+N231*20+O231*20+P231*15)/5,1))</x:f>
      </x:c>
      <x:c r="R231" s="18" t="str"/>
      <x:c r="S231" s="18" t="str"/>
      <x:c r="T231" s="17" t="str"/>
      <x:c r="U231" s="19"/>
    </x:row>
    <x:row r="232">
      <x:c r="A232" s="17" t="str">
        <x:v>MTS-0231</x:v>
      </x:c>
      <x:c r="B232" s="17" t="str">
        <x:v>Emergency Medication Card</x:v>
      </x:c>
      <x:c r="C232" s="17" t="str">
        <x:v>Safety and Emergency</x:v>
      </x:c>
      <x:c r="D232" s="17" t="str">
        <x:v>Mobile App</x:v>
      </x:c>
      <x:c r="E232" s="17" t="str">
        <x:v>Households and field teams</x:v>
      </x:c>
      <x:c r="F232" s="18" t="str">
        <x:v>Emergency Medication Card provides a focused safety and emergency workflow for households and field teams.</x:v>
      </x:c>
      <x:c r="G232" s="18" t="str">
        <x:v>Offline Data, Checklists, Alerts, Reports</x:v>
      </x:c>
      <x:c r="H232" s="17" t="str">
        <x:v>Paid + Pro</x:v>
      </x:c>
      <x:c r="I232" s="17" t="str">
        <x:v>Medium</x:v>
      </x:c>
      <x:c r="J232" s="17" t="str">
        <x:v>New candidate</x:v>
      </x:c>
      <x:c r="K232" s="17" t="str">
        <x:v>Unreviewed</x:v>
      </x:c>
      <x:c r="L232" s="17"/>
      <x:c r="M232" s="17"/>
      <x:c r="N232" s="17"/>
      <x:c r="O232" s="17"/>
      <x:c r="P232" s="17"/>
      <x:c r="Q232" s="17" t="str">
        <x:f>IF(COUNT(L232:P232)&lt;5,"",ROUND((L232*25+M232*20+N232*20+O232*20+P232*15)/5,1))</x:f>
      </x:c>
      <x:c r="R232" s="18" t="str"/>
      <x:c r="S232" s="18" t="str"/>
      <x:c r="T232" s="17" t="str"/>
      <x:c r="U232" s="19"/>
    </x:row>
    <x:row r="233">
      <x:c r="A233" s="17" t="str">
        <x:v>MTS-0232</x:v>
      </x:c>
      <x:c r="B233" s="17" t="str">
        <x:v>Pet Evacuation Planner</x:v>
      </x:c>
      <x:c r="C233" s="17" t="str">
        <x:v>Safety and Emergency</x:v>
      </x:c>
      <x:c r="D233" s="17" t="str">
        <x:v>Mobile App</x:v>
      </x:c>
      <x:c r="E233" s="17" t="str">
        <x:v>Households and field teams</x:v>
      </x:c>
      <x:c r="F233" s="18" t="str">
        <x:v>Pet Evacuation Planner provides a focused safety and emergency workflow for households and field teams.</x:v>
      </x:c>
      <x:c r="G233" s="18" t="str">
        <x:v>Offline Data, Checklists, Alerts, Reports</x:v>
      </x:c>
      <x:c r="H233" s="17" t="str">
        <x:v>Paid + Pro</x:v>
      </x:c>
      <x:c r="I233" s="17" t="str">
        <x:v>Medium</x:v>
      </x:c>
      <x:c r="J233" s="17" t="str">
        <x:v>New candidate</x:v>
      </x:c>
      <x:c r="K233" s="17" t="str">
        <x:v>Unreviewed</x:v>
      </x:c>
      <x:c r="L233" s="17"/>
      <x:c r="M233" s="17"/>
      <x:c r="N233" s="17"/>
      <x:c r="O233" s="17"/>
      <x:c r="P233" s="17"/>
      <x:c r="Q233" s="17" t="str">
        <x:f>IF(COUNT(L233:P233)&lt;5,"",ROUND((L233*25+M233*20+N233*20+O233*20+P233*15)/5,1))</x:f>
      </x:c>
      <x:c r="R233" s="18" t="str"/>
      <x:c r="S233" s="18" t="str"/>
      <x:c r="T233" s="17" t="str"/>
      <x:c r="U233" s="19"/>
    </x:row>
    <x:row r="234">
      <x:c r="A234" s="17" t="str">
        <x:v>MTS-0233</x:v>
      </x:c>
      <x:c r="B234" s="17" t="str">
        <x:v>Disaster Supply Expiration</x:v>
      </x:c>
      <x:c r="C234" s="17" t="str">
        <x:v>Safety and Emergency</x:v>
      </x:c>
      <x:c r="D234" s="17" t="str">
        <x:v>Mobile App</x:v>
      </x:c>
      <x:c r="E234" s="17" t="str">
        <x:v>Households and field teams</x:v>
      </x:c>
      <x:c r="F234" s="18" t="str">
        <x:v>Disaster Supply Expiration provides a focused safety and emergency workflow for households and field teams.</x:v>
      </x:c>
      <x:c r="G234" s="18" t="str">
        <x:v>Offline Data, Checklists, Alerts, Reports</x:v>
      </x:c>
      <x:c r="H234" s="17" t="str">
        <x:v>Paid + Pro</x:v>
      </x:c>
      <x:c r="I234" s="17" t="str">
        <x:v>Medium</x:v>
      </x:c>
      <x:c r="J234" s="17" t="str">
        <x:v>New candidate</x:v>
      </x:c>
      <x:c r="K234" s="17" t="str">
        <x:v>Unreviewed</x:v>
      </x:c>
      <x:c r="L234" s="17"/>
      <x:c r="M234" s="17"/>
      <x:c r="N234" s="17"/>
      <x:c r="O234" s="17"/>
      <x:c r="P234" s="17"/>
      <x:c r="Q234" s="17" t="str">
        <x:f>IF(COUNT(L234:P234)&lt;5,"",ROUND((L234*25+M234*20+N234*20+O234*20+P234*15)/5,1))</x:f>
      </x:c>
      <x:c r="R234" s="18" t="str"/>
      <x:c r="S234" s="18" t="str"/>
      <x:c r="T234" s="17" t="str"/>
      <x:c r="U234" s="19"/>
    </x:row>
    <x:row r="235">
      <x:c r="A235" s="17" t="str">
        <x:v>MTS-0234</x:v>
      </x:c>
      <x:c r="B235" s="17" t="str">
        <x:v>Defensible Space Inspection</x:v>
      </x:c>
      <x:c r="C235" s="17" t="str">
        <x:v>Safety and Emergency</x:v>
      </x:c>
      <x:c r="D235" s="17" t="str">
        <x:v>Mobile App</x:v>
      </x:c>
      <x:c r="E235" s="17" t="str">
        <x:v>Households and field teams</x:v>
      </x:c>
      <x:c r="F235" s="18" t="str">
        <x:v>Defensible Space Inspection provides a focused safety and emergency workflow for households and field teams.</x:v>
      </x:c>
      <x:c r="G235" s="18" t="str">
        <x:v>Offline Data, Checklists, Alerts, Reports</x:v>
      </x:c>
      <x:c r="H235" s="17" t="str">
        <x:v>Paid + Pro</x:v>
      </x:c>
      <x:c r="I235" s="17" t="str">
        <x:v>Medium</x:v>
      </x:c>
      <x:c r="J235" s="17" t="str">
        <x:v>New candidate</x:v>
      </x:c>
      <x:c r="K235" s="17" t="str">
        <x:v>Unreviewed</x:v>
      </x:c>
      <x:c r="L235" s="17"/>
      <x:c r="M235" s="17"/>
      <x:c r="N235" s="17"/>
      <x:c r="O235" s="17"/>
      <x:c r="P235" s="17"/>
      <x:c r="Q235" s="17" t="str">
        <x:f>IF(COUNT(L235:P235)&lt;5,"",ROUND((L235*25+M235*20+N235*20+O235*20+P235*15)/5,1))</x:f>
      </x:c>
      <x:c r="R235" s="18" t="str"/>
      <x:c r="S235" s="18" t="str"/>
      <x:c r="T235" s="17" t="str"/>
      <x:c r="U235" s="19"/>
    </x:row>
    <x:row r="236">
      <x:c r="A236" s="17" t="str">
        <x:v>MTS-0235</x:v>
      </x:c>
      <x:c r="B236" s="17" t="str">
        <x:v>Earthquake Home Audit</x:v>
      </x:c>
      <x:c r="C236" s="17" t="str">
        <x:v>Safety and Emergency</x:v>
      </x:c>
      <x:c r="D236" s="17" t="str">
        <x:v>Mobile App</x:v>
      </x:c>
      <x:c r="E236" s="17" t="str">
        <x:v>Households and field teams</x:v>
      </x:c>
      <x:c r="F236" s="18" t="str">
        <x:v>Earthquake Home Audit provides a focused safety and emergency workflow for households and field teams.</x:v>
      </x:c>
      <x:c r="G236" s="18" t="str">
        <x:v>Offline Data, Checklists, Alerts, Reports</x:v>
      </x:c>
      <x:c r="H236" s="17" t="str">
        <x:v>Paid + Pro</x:v>
      </x:c>
      <x:c r="I236" s="17" t="str">
        <x:v>Medium</x:v>
      </x:c>
      <x:c r="J236" s="17" t="str">
        <x:v>New candidate</x:v>
      </x:c>
      <x:c r="K236" s="17" t="str">
        <x:v>Unreviewed</x:v>
      </x:c>
      <x:c r="L236" s="17"/>
      <x:c r="M236" s="17"/>
      <x:c r="N236" s="17"/>
      <x:c r="O236" s="17"/>
      <x:c r="P236" s="17"/>
      <x:c r="Q236" s="17" t="str">
        <x:f>IF(COUNT(L236:P236)&lt;5,"",ROUND((L236*25+M236*20+N236*20+O236*20+P236*15)/5,1))</x:f>
      </x:c>
      <x:c r="R236" s="18" t="str"/>
      <x:c r="S236" s="18" t="str"/>
      <x:c r="T236" s="17" t="str"/>
      <x:c r="U236" s="19"/>
    </x:row>
    <x:row r="237">
      <x:c r="A237" s="17" t="str">
        <x:v>MTS-0236</x:v>
      </x:c>
      <x:c r="B237" s="17" t="str">
        <x:v>Power Outage Log</x:v>
      </x:c>
      <x:c r="C237" s="17" t="str">
        <x:v>Safety and Emergency</x:v>
      </x:c>
      <x:c r="D237" s="17" t="str">
        <x:v>Mobile App</x:v>
      </x:c>
      <x:c r="E237" s="17" t="str">
        <x:v>Households and field teams</x:v>
      </x:c>
      <x:c r="F237" s="18" t="str">
        <x:v>Power Outage Log provides a focused safety and emergency workflow for households and field teams.</x:v>
      </x:c>
      <x:c r="G237" s="18" t="str">
        <x:v>Offline Data, Checklists, Alerts, Reports</x:v>
      </x:c>
      <x:c r="H237" s="17" t="str">
        <x:v>Paid + Pro</x:v>
      </x:c>
      <x:c r="I237" s="17" t="str">
        <x:v>Medium</x:v>
      </x:c>
      <x:c r="J237" s="17" t="str">
        <x:v>New candidate</x:v>
      </x:c>
      <x:c r="K237" s="17" t="str">
        <x:v>Unreviewed</x:v>
      </x:c>
      <x:c r="L237" s="17"/>
      <x:c r="M237" s="17"/>
      <x:c r="N237" s="17"/>
      <x:c r="O237" s="17"/>
      <x:c r="P237" s="17"/>
      <x:c r="Q237" s="17" t="str">
        <x:f>IF(COUNT(L237:P237)&lt;5,"",ROUND((L237*25+M237*20+N237*20+O237*20+P237*15)/5,1))</x:f>
      </x:c>
      <x:c r="R237" s="18" t="str"/>
      <x:c r="S237" s="18" t="str"/>
      <x:c r="T237" s="17" t="str"/>
      <x:c r="U237" s="19"/>
    </x:row>
    <x:row r="238">
      <x:c r="A238" s="17" t="str">
        <x:v>MTS-0237</x:v>
      </x:c>
      <x:c r="B238" s="17" t="str">
        <x:v>First Aid Kit Inventory</x:v>
      </x:c>
      <x:c r="C238" s="17" t="str">
        <x:v>Safety and Emergency</x:v>
      </x:c>
      <x:c r="D238" s="17" t="str">
        <x:v>Mobile App</x:v>
      </x:c>
      <x:c r="E238" s="17" t="str">
        <x:v>Households and field teams</x:v>
      </x:c>
      <x:c r="F238" s="18" t="str">
        <x:v>First Aid Kit Inventory provides a focused safety and emergency workflow for households and field teams.</x:v>
      </x:c>
      <x:c r="G238" s="18" t="str">
        <x:v>Offline Data, Checklists, Alerts, Reports</x:v>
      </x:c>
      <x:c r="H238" s="17" t="str">
        <x:v>Paid + Pro</x:v>
      </x:c>
      <x:c r="I238" s="17" t="str">
        <x:v>Medium</x:v>
      </x:c>
      <x:c r="J238" s="17" t="str">
        <x:v>New candidate</x:v>
      </x:c>
      <x:c r="K238" s="17" t="str">
        <x:v>Unreviewed</x:v>
      </x:c>
      <x:c r="L238" s="17"/>
      <x:c r="M238" s="17"/>
      <x:c r="N238" s="17"/>
      <x:c r="O238" s="17"/>
      <x:c r="P238" s="17"/>
      <x:c r="Q238" s="17" t="str">
        <x:f>IF(COUNT(L238:P238)&lt;5,"",ROUND((L238*25+M238*20+N238*20+O238*20+P238*15)/5,1))</x:f>
      </x:c>
      <x:c r="R238" s="18" t="str"/>
      <x:c r="S238" s="18" t="str"/>
      <x:c r="T238" s="17" t="str"/>
      <x:c r="U238" s="19"/>
    </x:row>
    <x:row r="239">
      <x:c r="A239" s="17" t="str">
        <x:v>MTS-0238</x:v>
      </x:c>
      <x:c r="B239" s="17" t="str">
        <x:v>Incident Timeline Builder</x:v>
      </x:c>
      <x:c r="C239" s="17" t="str">
        <x:v>Safety and Emergency</x:v>
      </x:c>
      <x:c r="D239" s="17" t="str">
        <x:v>Mobile App</x:v>
      </x:c>
      <x:c r="E239" s="17" t="str">
        <x:v>Households and field teams</x:v>
      </x:c>
      <x:c r="F239" s="18" t="str">
        <x:v>Incident Timeline Builder provides a focused safety and emergency workflow for households and field teams.</x:v>
      </x:c>
      <x:c r="G239" s="18" t="str">
        <x:v>Offline Data, Checklists, Alerts, Reports</x:v>
      </x:c>
      <x:c r="H239" s="17" t="str">
        <x:v>Paid + Pro</x:v>
      </x:c>
      <x:c r="I239" s="17" t="str">
        <x:v>Medium</x:v>
      </x:c>
      <x:c r="J239" s="17" t="str">
        <x:v>New candidate</x:v>
      </x:c>
      <x:c r="K239" s="17" t="str">
        <x:v>Unreviewed</x:v>
      </x:c>
      <x:c r="L239" s="17"/>
      <x:c r="M239" s="17"/>
      <x:c r="N239" s="17"/>
      <x:c r="O239" s="17"/>
      <x:c r="P239" s="17"/>
      <x:c r="Q239" s="17" t="str">
        <x:f>IF(COUNT(L239:P239)&lt;5,"",ROUND((L239*25+M239*20+N239*20+O239*20+P239*15)/5,1))</x:f>
      </x:c>
      <x:c r="R239" s="18" t="str"/>
      <x:c r="S239" s="18" t="str"/>
      <x:c r="T239" s="17" t="str"/>
      <x:c r="U239" s="19"/>
    </x:row>
    <x:row r="240">
      <x:c r="A240" s="17" t="str">
        <x:v>MTS-0239</x:v>
      </x:c>
      <x:c r="B240" s="17" t="str">
        <x:v>Lone Worker Check-In</x:v>
      </x:c>
      <x:c r="C240" s="17" t="str">
        <x:v>Safety and Emergency</x:v>
      </x:c>
      <x:c r="D240" s="17" t="str">
        <x:v>Mobile App</x:v>
      </x:c>
      <x:c r="E240" s="17" t="str">
        <x:v>Households and field teams</x:v>
      </x:c>
      <x:c r="F240" s="18" t="str">
        <x:v>Lone Worker Check-In provides a focused safety and emergency workflow for households and field teams.</x:v>
      </x:c>
      <x:c r="G240" s="18" t="str">
        <x:v>Offline Data, Checklists, Alerts, Reports</x:v>
      </x:c>
      <x:c r="H240" s="17" t="str">
        <x:v>Paid + Pro</x:v>
      </x:c>
      <x:c r="I240" s="17" t="str">
        <x:v>Medium</x:v>
      </x:c>
      <x:c r="J240" s="17" t="str">
        <x:v>New candidate</x:v>
      </x:c>
      <x:c r="K240" s="17" t="str">
        <x:v>Unreviewed</x:v>
      </x:c>
      <x:c r="L240" s="17"/>
      <x:c r="M240" s="17"/>
      <x:c r="N240" s="17"/>
      <x:c r="O240" s="17"/>
      <x:c r="P240" s="17"/>
      <x:c r="Q240" s="17" t="str">
        <x:f>IF(COUNT(L240:P240)&lt;5,"",ROUND((L240*25+M240*20+N240*20+O240*20+P240*15)/5,1))</x:f>
      </x:c>
      <x:c r="R240" s="18" t="str"/>
      <x:c r="S240" s="18" t="str"/>
      <x:c r="T240" s="17" t="str"/>
      <x:c r="U240" s="19"/>
    </x:row>
    <x:row r="241">
      <x:c r="A241" s="17" t="str">
        <x:v>MTS-0240</x:v>
      </x:c>
      <x:c r="B241" s="17" t="str">
        <x:v>Neighborhood Hazard Reporter</x:v>
      </x:c>
      <x:c r="C241" s="17" t="str">
        <x:v>Safety and Emergency</x:v>
      </x:c>
      <x:c r="D241" s="17" t="str">
        <x:v>Mobile App</x:v>
      </x:c>
      <x:c r="E241" s="17" t="str">
        <x:v>Households and field teams</x:v>
      </x:c>
      <x:c r="F241" s="18" t="str">
        <x:v>Neighborhood Hazard Reporter provides a focused safety and emergency workflow for households and field teams.</x:v>
      </x:c>
      <x:c r="G241" s="18" t="str">
        <x:v>Offline Data, Checklists, Alerts, Reports</x:v>
      </x:c>
      <x:c r="H241" s="17" t="str">
        <x:v>Paid + Pro</x:v>
      </x:c>
      <x:c r="I241" s="17" t="str">
        <x:v>Medium</x:v>
      </x:c>
      <x:c r="J241" s="17" t="str">
        <x:v>New candidate</x:v>
      </x:c>
      <x:c r="K241" s="17" t="str">
        <x:v>Unreviewed</x:v>
      </x:c>
      <x:c r="L241" s="17"/>
      <x:c r="M241" s="17"/>
      <x:c r="N241" s="17"/>
      <x:c r="O241" s="17"/>
      <x:c r="P241" s="17"/>
      <x:c r="Q241" s="17" t="str">
        <x:f>IF(COUNT(L241:P241)&lt;5,"",ROUND((L241*25+M241*20+N241*20+O241*20+P241*15)/5,1))</x:f>
      </x:c>
      <x:c r="R241" s="18" t="str"/>
      <x:c r="S241" s="18" t="str"/>
      <x:c r="T241" s="17" t="str"/>
      <x:c r="U241" s="19"/>
    </x:row>
    <x:row r="242">
      <x:c r="A242" s="17" t="str">
        <x:v>MTS-0241</x:v>
      </x:c>
      <x:c r="B242" s="17" t="str">
        <x:v>Rival Rush</x:v>
      </x:c>
      <x:c r="C242" s="17" t="str">
        <x:v>Games and Social</x:v>
      </x:c>
      <x:c r="D242" s="17" t="str">
        <x:v>Mobile Game</x:v>
      </x:c>
      <x:c r="E242" s="17" t="str">
        <x:v>Friends and families</x:v>
      </x:c>
      <x:c r="F242" s="18" t="str">
        <x:v>Rival Rush provides a focused games and social workflow for friends and families.</x:v>
      </x:c>
      <x:c r="G242" s="18" t="str">
        <x:v>Game Core, Profiles, Ads, Content Packs</x:v>
      </x:c>
      <x:c r="H242" s="17" t="str">
        <x:v>Ads + IAP</x:v>
      </x:c>
      <x:c r="I242" s="17" t="str">
        <x:v>Medium</x:v>
      </x:c>
      <x:c r="J242" s="17" t="str">
        <x:v>Existing discussion/project</x:v>
      </x:c>
      <x:c r="K242" s="17" t="str">
        <x:v>Unreviewed</x:v>
      </x:c>
      <x:c r="L242" s="17"/>
      <x:c r="M242" s="17"/>
      <x:c r="N242" s="17"/>
      <x:c r="O242" s="17"/>
      <x:c r="P242" s="17"/>
      <x:c r="Q242" s="17" t="str">
        <x:f>IF(COUNT(L242:P242)&lt;5,"",ROUND((L242*25+M242*20+N242*20+O242*20+P242*15)/5,1))</x:f>
      </x:c>
      <x:c r="R242" s="18" t="str"/>
      <x:c r="S242" s="18" t="str"/>
      <x:c r="T242" s="17" t="str"/>
      <x:c r="U242" s="19"/>
    </x:row>
    <x:row r="243">
      <x:c r="A243" s="17" t="str">
        <x:v>MTS-0242</x:v>
      </x:c>
      <x:c r="B243" s="17" t="str">
        <x:v>Word Rush Duel</x:v>
      </x:c>
      <x:c r="C243" s="17" t="str">
        <x:v>Games and Social</x:v>
      </x:c>
      <x:c r="D243" s="17" t="str">
        <x:v>Mobile Game</x:v>
      </x:c>
      <x:c r="E243" s="17" t="str">
        <x:v>Friends and families</x:v>
      </x:c>
      <x:c r="F243" s="18" t="str">
        <x:v>Word Rush Duel provides a focused games and social workflow for friends and families.</x:v>
      </x:c>
      <x:c r="G243" s="18" t="str">
        <x:v>Game Core, Profiles, Ads, Content Packs</x:v>
      </x:c>
      <x:c r="H243" s="17" t="str">
        <x:v>Ads + IAP</x:v>
      </x:c>
      <x:c r="I243" s="17" t="str">
        <x:v>Medium</x:v>
      </x:c>
      <x:c r="J243" s="17" t="str">
        <x:v>New candidate</x:v>
      </x:c>
      <x:c r="K243" s="17" t="str">
        <x:v>Unreviewed</x:v>
      </x:c>
      <x:c r="L243" s="17"/>
      <x:c r="M243" s="17"/>
      <x:c r="N243" s="17"/>
      <x:c r="O243" s="17"/>
      <x:c r="P243" s="17"/>
      <x:c r="Q243" s="17" t="str">
        <x:f>IF(COUNT(L243:P243)&lt;5,"",ROUND((L243*25+M243*20+N243*20+O243*20+P243*15)/5,1))</x:f>
      </x:c>
      <x:c r="R243" s="18" t="str"/>
      <x:c r="S243" s="18" t="str"/>
      <x:c r="T243" s="17" t="str"/>
      <x:c r="U243" s="19"/>
    </x:row>
    <x:row r="244">
      <x:c r="A244" s="17" t="str">
        <x:v>MTS-0243</x:v>
      </x:c>
      <x:c r="B244" s="17" t="str">
        <x:v>Brain Crunch Battle</x:v>
      </x:c>
      <x:c r="C244" s="17" t="str">
        <x:v>Games and Social</x:v>
      </x:c>
      <x:c r="D244" s="17" t="str">
        <x:v>Mobile Game</x:v>
      </x:c>
      <x:c r="E244" s="17" t="str">
        <x:v>Friends and families</x:v>
      </x:c>
      <x:c r="F244" s="18" t="str">
        <x:v>Brain Crunch Battle provides a focused games and social workflow for friends and families.</x:v>
      </x:c>
      <x:c r="G244" s="18" t="str">
        <x:v>Game Core, Profiles, Ads, Content Packs</x:v>
      </x:c>
      <x:c r="H244" s="17" t="str">
        <x:v>Ads + IAP</x:v>
      </x:c>
      <x:c r="I244" s="17" t="str">
        <x:v>Medium</x:v>
      </x:c>
      <x:c r="J244" s="17" t="str">
        <x:v>New candidate</x:v>
      </x:c>
      <x:c r="K244" s="17" t="str">
        <x:v>Unreviewed</x:v>
      </x:c>
      <x:c r="L244" s="17"/>
      <x:c r="M244" s="17"/>
      <x:c r="N244" s="17"/>
      <x:c r="O244" s="17"/>
      <x:c r="P244" s="17"/>
      <x:c r="Q244" s="17" t="str">
        <x:f>IF(COUNT(L244:P244)&lt;5,"",ROUND((L244*25+M244*20+N244*20+O244*20+P244*15)/5,1))</x:f>
      </x:c>
      <x:c r="R244" s="18" t="str"/>
      <x:c r="S244" s="18" t="str"/>
      <x:c r="T244" s="17" t="str"/>
      <x:c r="U244" s="19"/>
    </x:row>
    <x:row r="245">
      <x:c r="A245" s="17" t="str">
        <x:v>MTS-0244</x:v>
      </x:c>
      <x:c r="B245" s="17" t="str">
        <x:v>Emoji Wars</x:v>
      </x:c>
      <x:c r="C245" s="17" t="str">
        <x:v>Games and Social</x:v>
      </x:c>
      <x:c r="D245" s="17" t="str">
        <x:v>Mobile Game</x:v>
      </x:c>
      <x:c r="E245" s="17" t="str">
        <x:v>Friends and families</x:v>
      </x:c>
      <x:c r="F245" s="18" t="str">
        <x:v>Emoji Wars provides a focused games and social workflow for friends and families.</x:v>
      </x:c>
      <x:c r="G245" s="18" t="str">
        <x:v>Game Core, Profiles, Ads, Content Packs</x:v>
      </x:c>
      <x:c r="H245" s="17" t="str">
        <x:v>Ads + IAP</x:v>
      </x:c>
      <x:c r="I245" s="17" t="str">
        <x:v>Medium</x:v>
      </x:c>
      <x:c r="J245" s="17" t="str">
        <x:v>New candidate</x:v>
      </x:c>
      <x:c r="K245" s="17" t="str">
        <x:v>Unreviewed</x:v>
      </x:c>
      <x:c r="L245" s="17"/>
      <x:c r="M245" s="17"/>
      <x:c r="N245" s="17"/>
      <x:c r="O245" s="17"/>
      <x:c r="P245" s="17"/>
      <x:c r="Q245" s="17" t="str">
        <x:f>IF(COUNT(L245:P245)&lt;5,"",ROUND((L245*25+M245*20+N245*20+O245*20+P245*15)/5,1))</x:f>
      </x:c>
      <x:c r="R245" s="18" t="str"/>
      <x:c r="S245" s="18" t="str"/>
      <x:c r="T245" s="17" t="str"/>
      <x:c r="U245" s="19"/>
    </x:row>
    <x:row r="246">
      <x:c r="A246" s="17" t="str">
        <x:v>MTS-0245</x:v>
      </x:c>
      <x:c r="B246" s="17" t="str">
        <x:v>Couples Challenge Arcade</x:v>
      </x:c>
      <x:c r="C246" s="17" t="str">
        <x:v>Games and Social</x:v>
      </x:c>
      <x:c r="D246" s="17" t="str">
        <x:v>Mobile Game</x:v>
      </x:c>
      <x:c r="E246" s="17" t="str">
        <x:v>Friends and families</x:v>
      </x:c>
      <x:c r="F246" s="18" t="str">
        <x:v>Couples Challenge Arcade provides a focused games and social workflow for friends and families.</x:v>
      </x:c>
      <x:c r="G246" s="18" t="str">
        <x:v>Game Core, Profiles, Ads, Content Packs</x:v>
      </x:c>
      <x:c r="H246" s="17" t="str">
        <x:v>Ads + IAP</x:v>
      </x:c>
      <x:c r="I246" s="17" t="str">
        <x:v>Medium</x:v>
      </x:c>
      <x:c r="J246" s="17" t="str">
        <x:v>New candidate</x:v>
      </x:c>
      <x:c r="K246" s="17" t="str">
        <x:v>Unreviewed</x:v>
      </x:c>
      <x:c r="L246" s="17"/>
      <x:c r="M246" s="17"/>
      <x:c r="N246" s="17"/>
      <x:c r="O246" s="17"/>
      <x:c r="P246" s="17"/>
      <x:c r="Q246" s="17" t="str">
        <x:f>IF(COUNT(L246:P246)&lt;5,"",ROUND((L246*25+M246*20+N246*20+O246*20+P246*15)/5,1))</x:f>
      </x:c>
      <x:c r="R246" s="18" t="str"/>
      <x:c r="S246" s="18" t="str"/>
      <x:c r="T246" s="17" t="str"/>
      <x:c r="U246" s="19"/>
    </x:row>
    <x:row r="247">
      <x:c r="A247" s="17" t="str">
        <x:v>MTS-0246</x:v>
      </x:c>
      <x:c r="B247" s="17" t="str">
        <x:v>Party Scorekeeper</x:v>
      </x:c>
      <x:c r="C247" s="17" t="str">
        <x:v>Games and Social</x:v>
      </x:c>
      <x:c r="D247" s="17" t="str">
        <x:v>Mobile Game</x:v>
      </x:c>
      <x:c r="E247" s="17" t="str">
        <x:v>Friends and families</x:v>
      </x:c>
      <x:c r="F247" s="18" t="str">
        <x:v>Party Scorekeeper provides a focused games and social workflow for friends and families.</x:v>
      </x:c>
      <x:c r="G247" s="18" t="str">
        <x:v>Game Core, Profiles, Ads, Content Packs</x:v>
      </x:c>
      <x:c r="H247" s="17" t="str">
        <x:v>Ads + IAP</x:v>
      </x:c>
      <x:c r="I247" s="17" t="str">
        <x:v>Medium</x:v>
      </x:c>
      <x:c r="J247" s="17" t="str">
        <x:v>New candidate</x:v>
      </x:c>
      <x:c r="K247" s="17" t="str">
        <x:v>Unreviewed</x:v>
      </x:c>
      <x:c r="L247" s="17"/>
      <x:c r="M247" s="17"/>
      <x:c r="N247" s="17"/>
      <x:c r="O247" s="17"/>
      <x:c r="P247" s="17"/>
      <x:c r="Q247" s="17" t="str">
        <x:f>IF(COUNT(L247:P247)&lt;5,"",ROUND((L247*25+M247*20+N247*20+O247*20+P247*15)/5,1))</x:f>
      </x:c>
      <x:c r="R247" s="18" t="str"/>
      <x:c r="S247" s="18" t="str"/>
      <x:c r="T247" s="17" t="str"/>
      <x:c r="U247" s="19"/>
    </x:row>
    <x:row r="248">
      <x:c r="A248" s="17" t="str">
        <x:v>MTS-0247</x:v>
      </x:c>
      <x:c r="B248" s="17" t="str">
        <x:v>Tournament Bracket Party</x:v>
      </x:c>
      <x:c r="C248" s="17" t="str">
        <x:v>Games and Social</x:v>
      </x:c>
      <x:c r="D248" s="17" t="str">
        <x:v>Mobile Game</x:v>
      </x:c>
      <x:c r="E248" s="17" t="str">
        <x:v>Friends and families</x:v>
      </x:c>
      <x:c r="F248" s="18" t="str">
        <x:v>Tournament Bracket Party provides a focused games and social workflow for friends and families.</x:v>
      </x:c>
      <x:c r="G248" s="18" t="str">
        <x:v>Game Core, Profiles, Ads, Content Packs</x:v>
      </x:c>
      <x:c r="H248" s="17" t="str">
        <x:v>Ads + IAP</x:v>
      </x:c>
      <x:c r="I248" s="17" t="str">
        <x:v>Medium</x:v>
      </x:c>
      <x:c r="J248" s="17" t="str">
        <x:v>New candidate</x:v>
      </x:c>
      <x:c r="K248" s="17" t="str">
        <x:v>Unreviewed</x:v>
      </x:c>
      <x:c r="L248" s="17"/>
      <x:c r="M248" s="17"/>
      <x:c r="N248" s="17"/>
      <x:c r="O248" s="17"/>
      <x:c r="P248" s="17"/>
      <x:c r="Q248" s="17" t="str">
        <x:f>IF(COUNT(L248:P248)&lt;5,"",ROUND((L248*25+M248*20+N248*20+O248*20+P248*15)/5,1))</x:f>
      </x:c>
      <x:c r="R248" s="18" t="str"/>
      <x:c r="S248" s="18" t="str"/>
      <x:c r="T248" s="17" t="str"/>
      <x:c r="U248" s="19"/>
    </x:row>
    <x:row r="249">
      <x:c r="A249" s="17" t="str">
        <x:v>MTS-0248</x:v>
      </x:c>
      <x:c r="B249" s="17" t="str">
        <x:v>Scavenger Hunt Builder</x:v>
      </x:c>
      <x:c r="C249" s="17" t="str">
        <x:v>Games and Social</x:v>
      </x:c>
      <x:c r="D249" s="17" t="str">
        <x:v>Mobile Game</x:v>
      </x:c>
      <x:c r="E249" s="17" t="str">
        <x:v>Friends and families</x:v>
      </x:c>
      <x:c r="F249" s="18" t="str">
        <x:v>Scavenger Hunt Builder provides a focused games and social workflow for friends and families.</x:v>
      </x:c>
      <x:c r="G249" s="18" t="str">
        <x:v>Game Core, Profiles, Ads, Content Packs</x:v>
      </x:c>
      <x:c r="H249" s="17" t="str">
        <x:v>Ads + IAP</x:v>
      </x:c>
      <x:c r="I249" s="17" t="str">
        <x:v>Medium</x:v>
      </x:c>
      <x:c r="J249" s="17" t="str">
        <x:v>New candidate</x:v>
      </x:c>
      <x:c r="K249" s="17" t="str">
        <x:v>Unreviewed</x:v>
      </x:c>
      <x:c r="L249" s="17"/>
      <x:c r="M249" s="17"/>
      <x:c r="N249" s="17"/>
      <x:c r="O249" s="17"/>
      <x:c r="P249" s="17"/>
      <x:c r="Q249" s="17" t="str">
        <x:f>IF(COUNT(L249:P249)&lt;5,"",ROUND((L249*25+M249*20+N249*20+O249*20+P249*15)/5,1))</x:f>
      </x:c>
      <x:c r="R249" s="18" t="str"/>
      <x:c r="S249" s="18" t="str"/>
      <x:c r="T249" s="17" t="str"/>
      <x:c r="U249" s="19"/>
    </x:row>
    <x:row r="250">
      <x:c r="A250" s="17" t="str">
        <x:v>MTS-0249</x:v>
      </x:c>
      <x:c r="B250" s="17" t="str">
        <x:v>Photo Bingo Party</x:v>
      </x:c>
      <x:c r="C250" s="17" t="str">
        <x:v>Games and Social</x:v>
      </x:c>
      <x:c r="D250" s="17" t="str">
        <x:v>Mobile Game</x:v>
      </x:c>
      <x:c r="E250" s="17" t="str">
        <x:v>Friends and families</x:v>
      </x:c>
      <x:c r="F250" s="18" t="str">
        <x:v>Photo Bingo Party provides a focused games and social workflow for friends and families.</x:v>
      </x:c>
      <x:c r="G250" s="18" t="str">
        <x:v>Game Core, Profiles, Ads, Content Packs</x:v>
      </x:c>
      <x:c r="H250" s="17" t="str">
        <x:v>Ads + IAP</x:v>
      </x:c>
      <x:c r="I250" s="17" t="str">
        <x:v>Medium</x:v>
      </x:c>
      <x:c r="J250" s="17" t="str">
        <x:v>New candidate</x:v>
      </x:c>
      <x:c r="K250" s="17" t="str">
        <x:v>Unreviewed</x:v>
      </x:c>
      <x:c r="L250" s="17"/>
      <x:c r="M250" s="17"/>
      <x:c r="N250" s="17"/>
      <x:c r="O250" s="17"/>
      <x:c r="P250" s="17"/>
      <x:c r="Q250" s="17" t="str">
        <x:f>IF(COUNT(L250:P250)&lt;5,"",ROUND((L250*25+M250*20+N250*20+O250*20+P250*15)/5,1))</x:f>
      </x:c>
      <x:c r="R250" s="18" t="str"/>
      <x:c r="S250" s="18" t="str"/>
      <x:c r="T250" s="17" t="str"/>
      <x:c r="U250" s="19"/>
    </x:row>
    <x:row r="251">
      <x:c r="A251" s="17" t="str">
        <x:v>MTS-0250</x:v>
      </x:c>
      <x:c r="B251" s="17" t="str">
        <x:v>Quick Trivia Packs</x:v>
      </x:c>
      <x:c r="C251" s="17" t="str">
        <x:v>Games and Social</x:v>
      </x:c>
      <x:c r="D251" s="17" t="str">
        <x:v>Mobile Game</x:v>
      </x:c>
      <x:c r="E251" s="17" t="str">
        <x:v>Friends and families</x:v>
      </x:c>
      <x:c r="F251" s="18" t="str">
        <x:v>Quick Trivia Packs provides a focused games and social workflow for friends and families.</x:v>
      </x:c>
      <x:c r="G251" s="18" t="str">
        <x:v>Game Core, Profiles, Ads, Content Packs</x:v>
      </x:c>
      <x:c r="H251" s="17" t="str">
        <x:v>Ads + IAP</x:v>
      </x:c>
      <x:c r="I251" s="17" t="str">
        <x:v>Medium</x:v>
      </x:c>
      <x:c r="J251" s="17" t="str">
        <x:v>New candidate</x:v>
      </x:c>
      <x:c r="K251" s="17" t="str">
        <x:v>Unreviewed</x:v>
      </x:c>
      <x:c r="L251" s="17"/>
      <x:c r="M251" s="17"/>
      <x:c r="N251" s="17"/>
      <x:c r="O251" s="17"/>
      <x:c r="P251" s="17"/>
      <x:c r="Q251" s="17" t="str">
        <x:f>IF(COUNT(L251:P251)&lt;5,"",ROUND((L251*25+M251*20+N251*20+O251*20+P251*15)/5,1))</x:f>
      </x:c>
      <x:c r="R251" s="18" t="str"/>
      <x:c r="S251" s="18" t="str"/>
      <x:c r="T251" s="17" t="str"/>
      <x:c r="U251" s="19"/>
    </x:row>
    <x:row r="252">
      <x:c r="A252" s="17" t="str">
        <x:v>MTS-0251</x:v>
      </x:c>
      <x:c r="B252" s="17" t="str">
        <x:v>Tap Reflex Duel</x:v>
      </x:c>
      <x:c r="C252" s="17" t="str">
        <x:v>Games and Social</x:v>
      </x:c>
      <x:c r="D252" s="17" t="str">
        <x:v>Mobile Game</x:v>
      </x:c>
      <x:c r="E252" s="17" t="str">
        <x:v>Friends and families</x:v>
      </x:c>
      <x:c r="F252" s="18" t="str">
        <x:v>Tap Reflex Duel provides a focused games and social workflow for friends and families.</x:v>
      </x:c>
      <x:c r="G252" s="18" t="str">
        <x:v>Game Core, Profiles, Ads, Content Packs</x:v>
      </x:c>
      <x:c r="H252" s="17" t="str">
        <x:v>Ads + IAP</x:v>
      </x:c>
      <x:c r="I252" s="17" t="str">
        <x:v>Medium</x:v>
      </x:c>
      <x:c r="J252" s="17" t="str">
        <x:v>New candidate</x:v>
      </x:c>
      <x:c r="K252" s="17" t="str">
        <x:v>Unreviewed</x:v>
      </x:c>
      <x:c r="L252" s="17"/>
      <x:c r="M252" s="17"/>
      <x:c r="N252" s="17"/>
      <x:c r="O252" s="17"/>
      <x:c r="P252" s="17"/>
      <x:c r="Q252" s="17" t="str">
        <x:f>IF(COUNT(L252:P252)&lt;5,"",ROUND((L252*25+M252*20+N252*20+O252*20+P252*15)/5,1))</x:f>
      </x:c>
      <x:c r="R252" s="18" t="str"/>
      <x:c r="S252" s="18" t="str"/>
      <x:c r="T252" s="17" t="str"/>
      <x:c r="U252" s="19"/>
    </x:row>
    <x:row r="253">
      <x:c r="A253" s="17" t="str">
        <x:v>MTS-0252</x:v>
      </x:c>
      <x:c r="B253" s="17" t="str">
        <x:v>Memory Match Duel</x:v>
      </x:c>
      <x:c r="C253" s="17" t="str">
        <x:v>Games and Social</x:v>
      </x:c>
      <x:c r="D253" s="17" t="str">
        <x:v>Mobile Game</x:v>
      </x:c>
      <x:c r="E253" s="17" t="str">
        <x:v>Friends and families</x:v>
      </x:c>
      <x:c r="F253" s="18" t="str">
        <x:v>Memory Match Duel provides a focused games and social workflow for friends and families.</x:v>
      </x:c>
      <x:c r="G253" s="18" t="str">
        <x:v>Game Core, Profiles, Ads, Content Packs</x:v>
      </x:c>
      <x:c r="H253" s="17" t="str">
        <x:v>Ads + IAP</x:v>
      </x:c>
      <x:c r="I253" s="17" t="str">
        <x:v>Medium</x:v>
      </x:c>
      <x:c r="J253" s="17" t="str">
        <x:v>New candidate</x:v>
      </x:c>
      <x:c r="K253" s="17" t="str">
        <x:v>Unreviewed</x:v>
      </x:c>
      <x:c r="L253" s="17"/>
      <x:c r="M253" s="17"/>
      <x:c r="N253" s="17"/>
      <x:c r="O253" s="17"/>
      <x:c r="P253" s="17"/>
      <x:c r="Q253" s="17" t="str">
        <x:f>IF(COUNT(L253:P253)&lt;5,"",ROUND((L253*25+M253*20+N253*20+O253*20+P253*15)/5,1))</x:f>
      </x:c>
      <x:c r="R253" s="18" t="str"/>
      <x:c r="S253" s="18" t="str"/>
      <x:c r="T253" s="17" t="str"/>
      <x:c r="U253" s="19"/>
    </x:row>
    <x:row r="254">
      <x:c r="A254" s="17" t="str">
        <x:v>MTS-0253</x:v>
      </x:c>
      <x:c r="B254" s="17" t="str">
        <x:v>Movember Challenge Tracker</x:v>
      </x:c>
      <x:c r="C254" s="17" t="str">
        <x:v>Events and Nonprofits</x:v>
      </x:c>
      <x:c r="D254" s="17" t="str">
        <x:v>Mobile + SaaS</x:v>
      </x:c>
      <x:c r="E254" s="17" t="str">
        <x:v>Clubs and nonprofits</x:v>
      </x:c>
      <x:c r="F254" s="18" t="str">
        <x:v>Movember Challenge Tracker provides a focused events and nonprofits workflow for clubs and nonprofits.</x:v>
      </x:c>
      <x:c r="G254" s="18" t="str">
        <x:v>Events, Check-In, Payments, Reports</x:v>
      </x:c>
      <x:c r="H254" s="17" t="str">
        <x:v>Subscription</x:v>
      </x:c>
      <x:c r="I254" s="17" t="str">
        <x:v>Medium</x:v>
      </x:c>
      <x:c r="J254" s="17" t="str">
        <x:v>New candidate</x:v>
      </x:c>
      <x:c r="K254" s="17" t="str">
        <x:v>Unreviewed</x:v>
      </x:c>
      <x:c r="L254" s="17"/>
      <x:c r="M254" s="17"/>
      <x:c r="N254" s="17"/>
      <x:c r="O254" s="17"/>
      <x:c r="P254" s="17"/>
      <x:c r="Q254" s="17" t="str">
        <x:f>IF(COUNT(L254:P254)&lt;5,"",ROUND((L254*25+M254*20+N254*20+O254*20+P254*15)/5,1))</x:f>
      </x:c>
      <x:c r="R254" s="18" t="str"/>
      <x:c r="S254" s="18" t="str"/>
      <x:c r="T254" s="17" t="str"/>
      <x:c r="U254" s="19"/>
    </x:row>
    <x:row r="255">
      <x:c r="A255" s="17" t="str">
        <x:v>MTS-0254</x:v>
      </x:c>
      <x:c r="B255" s="17" t="str">
        <x:v>Fundraiser Campaign Tracker</x:v>
      </x:c>
      <x:c r="C255" s="17" t="str">
        <x:v>Events and Nonprofits</x:v>
      </x:c>
      <x:c r="D255" s="17" t="str">
        <x:v>Mobile + SaaS</x:v>
      </x:c>
      <x:c r="E255" s="17" t="str">
        <x:v>Clubs and nonprofits</x:v>
      </x:c>
      <x:c r="F255" s="18" t="str">
        <x:v>Fundraiser Campaign Tracker provides a focused events and nonprofits workflow for clubs and nonprofits.</x:v>
      </x:c>
      <x:c r="G255" s="18" t="str">
        <x:v>Events, Check-In, Payments, Reports</x:v>
      </x:c>
      <x:c r="H255" s="17" t="str">
        <x:v>Subscription</x:v>
      </x:c>
      <x:c r="I255" s="17" t="str">
        <x:v>Medium</x:v>
      </x:c>
      <x:c r="J255" s="17" t="str">
        <x:v>New candidate</x:v>
      </x:c>
      <x:c r="K255" s="17" t="str">
        <x:v>Unreviewed</x:v>
      </x:c>
      <x:c r="L255" s="17"/>
      <x:c r="M255" s="17"/>
      <x:c r="N255" s="17"/>
      <x:c r="O255" s="17"/>
      <x:c r="P255" s="17"/>
      <x:c r="Q255" s="17" t="str">
        <x:f>IF(COUNT(L255:P255)&lt;5,"",ROUND((L255*25+M255*20+N255*20+O255*20+P255*15)/5,1))</x:f>
      </x:c>
      <x:c r="R255" s="18" t="str"/>
      <x:c r="S255" s="18" t="str"/>
      <x:c r="T255" s="17" t="str"/>
      <x:c r="U255" s="19"/>
    </x:row>
    <x:row r="256">
      <x:c r="A256" s="17" t="str">
        <x:v>MTS-0255</x:v>
      </x:c>
      <x:c r="B256" s="17" t="str">
        <x:v>Volunteer Shift Manager</x:v>
      </x:c>
      <x:c r="C256" s="17" t="str">
        <x:v>Events and Nonprofits</x:v>
      </x:c>
      <x:c r="D256" s="17" t="str">
        <x:v>Mobile + SaaS</x:v>
      </x:c>
      <x:c r="E256" s="17" t="str">
        <x:v>Clubs and nonprofits</x:v>
      </x:c>
      <x:c r="F256" s="18" t="str">
        <x:v>Volunteer Shift Manager provides a focused events and nonprofits workflow for clubs and nonprofits.</x:v>
      </x:c>
      <x:c r="G256" s="18" t="str">
        <x:v>Events, Check-In, Payments, Reports</x:v>
      </x:c>
      <x:c r="H256" s="17" t="str">
        <x:v>Subscription</x:v>
      </x:c>
      <x:c r="I256" s="17" t="str">
        <x:v>Medium</x:v>
      </x:c>
      <x:c r="J256" s="17" t="str">
        <x:v>New candidate</x:v>
      </x:c>
      <x:c r="K256" s="17" t="str">
        <x:v>Unreviewed</x:v>
      </x:c>
      <x:c r="L256" s="17"/>
      <x:c r="M256" s="17"/>
      <x:c r="N256" s="17"/>
      <x:c r="O256" s="17"/>
      <x:c r="P256" s="17"/>
      <x:c r="Q256" s="17" t="str">
        <x:f>IF(COUNT(L256:P256)&lt;5,"",ROUND((L256*25+M256*20+N256*20+O256*20+P256*15)/5,1))</x:f>
      </x:c>
      <x:c r="R256" s="18" t="str"/>
      <x:c r="S256" s="18" t="str"/>
      <x:c r="T256" s="17" t="str"/>
      <x:c r="U256" s="19"/>
    </x:row>
    <x:row r="257">
      <x:c r="A257" s="17" t="str">
        <x:v>MTS-0256</x:v>
      </x:c>
      <x:c r="B257" s="17" t="str">
        <x:v>Donation Pledge Tracker</x:v>
      </x:c>
      <x:c r="C257" s="17" t="str">
        <x:v>Events and Nonprofits</x:v>
      </x:c>
      <x:c r="D257" s="17" t="str">
        <x:v>Mobile + SaaS</x:v>
      </x:c>
      <x:c r="E257" s="17" t="str">
        <x:v>Clubs and nonprofits</x:v>
      </x:c>
      <x:c r="F257" s="18" t="str">
        <x:v>Donation Pledge Tracker provides a focused events and nonprofits workflow for clubs and nonprofits.</x:v>
      </x:c>
      <x:c r="G257" s="18" t="str">
        <x:v>Events, Check-In, Payments, Reports</x:v>
      </x:c>
      <x:c r="H257" s="17" t="str">
        <x:v>Subscription</x:v>
      </x:c>
      <x:c r="I257" s="17" t="str">
        <x:v>Medium</x:v>
      </x:c>
      <x:c r="J257" s="17" t="str">
        <x:v>New candidate</x:v>
      </x:c>
      <x:c r="K257" s="17" t="str">
        <x:v>Unreviewed</x:v>
      </x:c>
      <x:c r="L257" s="17"/>
      <x:c r="M257" s="17"/>
      <x:c r="N257" s="17"/>
      <x:c r="O257" s="17"/>
      <x:c r="P257" s="17"/>
      <x:c r="Q257" s="17" t="str">
        <x:f>IF(COUNT(L257:P257)&lt;5,"",ROUND((L257*25+M257*20+N257*20+O257*20+P257*15)/5,1))</x:f>
      </x:c>
      <x:c r="R257" s="18" t="str"/>
      <x:c r="S257" s="18" t="str"/>
      <x:c r="T257" s="17" t="str"/>
      <x:c r="U257" s="19"/>
    </x:row>
    <x:row r="258">
      <x:c r="A258" s="17" t="str">
        <x:v>MTS-0257</x:v>
      </x:c>
      <x:c r="B258" s="17" t="str">
        <x:v>Event Safety Inspection</x:v>
      </x:c>
      <x:c r="C258" s="17" t="str">
        <x:v>Events and Nonprofits</x:v>
      </x:c>
      <x:c r="D258" s="17" t="str">
        <x:v>Mobile + SaaS</x:v>
      </x:c>
      <x:c r="E258" s="17" t="str">
        <x:v>Clubs and nonprofits</x:v>
      </x:c>
      <x:c r="F258" s="18" t="str">
        <x:v>Event Safety Inspection provides a focused events and nonprofits workflow for clubs and nonprofits.</x:v>
      </x:c>
      <x:c r="G258" s="18" t="str">
        <x:v>Events, Check-In, Payments, Reports</x:v>
      </x:c>
      <x:c r="H258" s="17" t="str">
        <x:v>Subscription</x:v>
      </x:c>
      <x:c r="I258" s="17" t="str">
        <x:v>Medium</x:v>
      </x:c>
      <x:c r="J258" s="17" t="str">
        <x:v>New candidate</x:v>
      </x:c>
      <x:c r="K258" s="17" t="str">
        <x:v>Unreviewed</x:v>
      </x:c>
      <x:c r="L258" s="17"/>
      <x:c r="M258" s="17"/>
      <x:c r="N258" s="17"/>
      <x:c r="O258" s="17"/>
      <x:c r="P258" s="17"/>
      <x:c r="Q258" s="17" t="str">
        <x:f>IF(COUNT(L258:P258)&lt;5,"",ROUND((L258*25+M258*20+N258*20+O258*20+P258*15)/5,1))</x:f>
      </x:c>
      <x:c r="R258" s="18" t="str"/>
      <x:c r="S258" s="18" t="str"/>
      <x:c r="T258" s="17" t="str"/>
      <x:c r="U258" s="19"/>
    </x:row>
    <x:row r="259">
      <x:c r="A259" s="17" t="str">
        <x:v>MTS-0258</x:v>
      </x:c>
      <x:c r="B259" s="17" t="str">
        <x:v>Vendor Check-In Manager</x:v>
      </x:c>
      <x:c r="C259" s="17" t="str">
        <x:v>Events and Nonprofits</x:v>
      </x:c>
      <x:c r="D259" s="17" t="str">
        <x:v>Mobile + SaaS</x:v>
      </x:c>
      <x:c r="E259" s="17" t="str">
        <x:v>Clubs and nonprofits</x:v>
      </x:c>
      <x:c r="F259" s="18" t="str">
        <x:v>Vendor Check-In Manager provides a focused events and nonprofits workflow for clubs and nonprofits.</x:v>
      </x:c>
      <x:c r="G259" s="18" t="str">
        <x:v>Events, Check-In, Payments, Reports</x:v>
      </x:c>
      <x:c r="H259" s="17" t="str">
        <x:v>Subscription</x:v>
      </x:c>
      <x:c r="I259" s="17" t="str">
        <x:v>Medium</x:v>
      </x:c>
      <x:c r="J259" s="17" t="str">
        <x:v>New candidate</x:v>
      </x:c>
      <x:c r="K259" s="17" t="str">
        <x:v>Unreviewed</x:v>
      </x:c>
      <x:c r="L259" s="17"/>
      <x:c r="M259" s="17"/>
      <x:c r="N259" s="17"/>
      <x:c r="O259" s="17"/>
      <x:c r="P259" s="17"/>
      <x:c r="Q259" s="17" t="str">
        <x:f>IF(COUNT(L259:P259)&lt;5,"",ROUND((L259*25+M259*20+N259*20+O259*20+P259*15)/5,1))</x:f>
      </x:c>
      <x:c r="R259" s="18" t="str"/>
      <x:c r="S259" s="18" t="str"/>
      <x:c r="T259" s="17" t="str"/>
      <x:c r="U259" s="19"/>
    </x:row>
    <x:row r="260">
      <x:c r="A260" s="17" t="str">
        <x:v>MTS-0259</x:v>
      </x:c>
      <x:c r="B260" s="17" t="str">
        <x:v>Race Checkpoint Tracker</x:v>
      </x:c>
      <x:c r="C260" s="17" t="str">
        <x:v>Events and Nonprofits</x:v>
      </x:c>
      <x:c r="D260" s="17" t="str">
        <x:v>Mobile + SaaS</x:v>
      </x:c>
      <x:c r="E260" s="17" t="str">
        <x:v>Clubs and nonprofits</x:v>
      </x:c>
      <x:c r="F260" s="18" t="str">
        <x:v>Race Checkpoint Tracker provides a focused events and nonprofits workflow for clubs and nonprofits.</x:v>
      </x:c>
      <x:c r="G260" s="18" t="str">
        <x:v>Events, Check-In, Payments, Reports</x:v>
      </x:c>
      <x:c r="H260" s="17" t="str">
        <x:v>Subscription</x:v>
      </x:c>
      <x:c r="I260" s="17" t="str">
        <x:v>Medium</x:v>
      </x:c>
      <x:c r="J260" s="17" t="str">
        <x:v>New candidate</x:v>
      </x:c>
      <x:c r="K260" s="17" t="str">
        <x:v>Unreviewed</x:v>
      </x:c>
      <x:c r="L260" s="17"/>
      <x:c r="M260" s="17"/>
      <x:c r="N260" s="17"/>
      <x:c r="O260" s="17"/>
      <x:c r="P260" s="17"/>
      <x:c r="Q260" s="17" t="str">
        <x:f>IF(COUNT(L260:P260)&lt;5,"",ROUND((L260*25+M260*20+N260*20+O260*20+P260*15)/5,1))</x:f>
      </x:c>
      <x:c r="R260" s="18" t="str"/>
      <x:c r="S260" s="18" t="str"/>
      <x:c r="T260" s="17" t="str"/>
      <x:c r="U260" s="19"/>
    </x:row>
    <x:row r="261">
      <x:c r="A261" s="17" t="str">
        <x:v>MTS-0260</x:v>
      </x:c>
      <x:c r="B261" s="17" t="str">
        <x:v>Silent Auction Manager</x:v>
      </x:c>
      <x:c r="C261" s="17" t="str">
        <x:v>Events and Nonprofits</x:v>
      </x:c>
      <x:c r="D261" s="17" t="str">
        <x:v>Mobile + SaaS</x:v>
      </x:c>
      <x:c r="E261" s="17" t="str">
        <x:v>Clubs and nonprofits</x:v>
      </x:c>
      <x:c r="F261" s="18" t="str">
        <x:v>Silent Auction Manager provides a focused events and nonprofits workflow for clubs and nonprofits.</x:v>
      </x:c>
      <x:c r="G261" s="18" t="str">
        <x:v>Events, Check-In, Payments, Reports</x:v>
      </x:c>
      <x:c r="H261" s="17" t="str">
        <x:v>Subscription</x:v>
      </x:c>
      <x:c r="I261" s="17" t="str">
        <x:v>Medium</x:v>
      </x:c>
      <x:c r="J261" s="17" t="str">
        <x:v>New candidate</x:v>
      </x:c>
      <x:c r="K261" s="17" t="str">
        <x:v>Unreviewed</x:v>
      </x:c>
      <x:c r="L261" s="17"/>
      <x:c r="M261" s="17"/>
      <x:c r="N261" s="17"/>
      <x:c r="O261" s="17"/>
      <x:c r="P261" s="17"/>
      <x:c r="Q261" s="17" t="str">
        <x:f>IF(COUNT(L261:P261)&lt;5,"",ROUND((L261*25+M261*20+N261*20+O261*20+P261*15)/5,1))</x:f>
      </x:c>
      <x:c r="R261" s="18" t="str"/>
      <x:c r="S261" s="18" t="str"/>
      <x:c r="T261" s="17" t="str"/>
      <x:c r="U261" s="19"/>
    </x:row>
    <x:row r="262">
      <x:c r="A262" s="17" t="str">
        <x:v>MTS-0261</x:v>
      </x:c>
      <x:c r="B262" s="17" t="str">
        <x:v>Sponsor Benefit Tracker</x:v>
      </x:c>
      <x:c r="C262" s="17" t="str">
        <x:v>Events and Nonprofits</x:v>
      </x:c>
      <x:c r="D262" s="17" t="str">
        <x:v>Mobile + SaaS</x:v>
      </x:c>
      <x:c r="E262" s="17" t="str">
        <x:v>Clubs and nonprofits</x:v>
      </x:c>
      <x:c r="F262" s="18" t="str">
        <x:v>Sponsor Benefit Tracker provides a focused events and nonprofits workflow for clubs and nonprofits.</x:v>
      </x:c>
      <x:c r="G262" s="18" t="str">
        <x:v>Events, Check-In, Payments, Reports</x:v>
      </x:c>
      <x:c r="H262" s="17" t="str">
        <x:v>Subscription</x:v>
      </x:c>
      <x:c r="I262" s="17" t="str">
        <x:v>Medium</x:v>
      </x:c>
      <x:c r="J262" s="17" t="str">
        <x:v>New candidate</x:v>
      </x:c>
      <x:c r="K262" s="17" t="str">
        <x:v>Unreviewed</x:v>
      </x:c>
      <x:c r="L262" s="17"/>
      <x:c r="M262" s="17"/>
      <x:c r="N262" s="17"/>
      <x:c r="O262" s="17"/>
      <x:c r="P262" s="17"/>
      <x:c r="Q262" s="17" t="str">
        <x:f>IF(COUNT(L262:P262)&lt;5,"",ROUND((L262*25+M262*20+N262*20+O262*20+P262*15)/5,1))</x:f>
      </x:c>
      <x:c r="R262" s="18" t="str"/>
      <x:c r="S262" s="18" t="str"/>
      <x:c r="T262" s="17" t="str"/>
      <x:c r="U262" s="19"/>
    </x:row>
    <x:row r="263">
      <x:c r="A263" s="17" t="str">
        <x:v>MTS-0262</x:v>
      </x:c>
      <x:c r="B263" s="17" t="str">
        <x:v>Community Cleanup Manager</x:v>
      </x:c>
      <x:c r="C263" s="17" t="str">
        <x:v>Events and Nonprofits</x:v>
      </x:c>
      <x:c r="D263" s="17" t="str">
        <x:v>Mobile + SaaS</x:v>
      </x:c>
      <x:c r="E263" s="17" t="str">
        <x:v>Clubs and nonprofits</x:v>
      </x:c>
      <x:c r="F263" s="18" t="str">
        <x:v>Community Cleanup Manager provides a focused events and nonprofits workflow for clubs and nonprofits.</x:v>
      </x:c>
      <x:c r="G263" s="18" t="str">
        <x:v>Events, Check-In, Payments, Reports</x:v>
      </x:c>
      <x:c r="H263" s="17" t="str">
        <x:v>Subscription</x:v>
      </x:c>
      <x:c r="I263" s="17" t="str">
        <x:v>Medium</x:v>
      </x:c>
      <x:c r="J263" s="17" t="str">
        <x:v>New candidate</x:v>
      </x:c>
      <x:c r="K263" s="17" t="str">
        <x:v>Unreviewed</x:v>
      </x:c>
      <x:c r="L263" s="17"/>
      <x:c r="M263" s="17"/>
      <x:c r="N263" s="17"/>
      <x:c r="O263" s="17"/>
      <x:c r="P263" s="17"/>
      <x:c r="Q263" s="17" t="str">
        <x:f>IF(COUNT(L263:P263)&lt;5,"",ROUND((L263*25+M263*20+N263*20+O263*20+P263*15)/5,1))</x:f>
      </x:c>
      <x:c r="R263" s="18" t="str"/>
      <x:c r="S263" s="18" t="str"/>
      <x:c r="T263" s="17" t="str"/>
      <x:c r="U263" s="19"/>
    </x:row>
    <x:row r="264">
      <x:c r="A264" s="17" t="str">
        <x:v>MTS-0263</x:v>
      </x:c>
      <x:c r="B264" s="17" t="str">
        <x:v>Club Attendance Tracker</x:v>
      </x:c>
      <x:c r="C264" s="17" t="str">
        <x:v>Events and Nonprofits</x:v>
      </x:c>
      <x:c r="D264" s="17" t="str">
        <x:v>Mobile + SaaS</x:v>
      </x:c>
      <x:c r="E264" s="17" t="str">
        <x:v>Clubs and nonprofits</x:v>
      </x:c>
      <x:c r="F264" s="18" t="str">
        <x:v>Club Attendance Tracker provides a focused events and nonprofits workflow for clubs and nonprofits.</x:v>
      </x:c>
      <x:c r="G264" s="18" t="str">
        <x:v>Events, Check-In, Payments, Reports</x:v>
      </x:c>
      <x:c r="H264" s="17" t="str">
        <x:v>Subscription</x:v>
      </x:c>
      <x:c r="I264" s="17" t="str">
        <x:v>Medium</x:v>
      </x:c>
      <x:c r="J264" s="17" t="str">
        <x:v>New candidate</x:v>
      </x:c>
      <x:c r="K264" s="17" t="str">
        <x:v>Unreviewed</x:v>
      </x:c>
      <x:c r="L264" s="17"/>
      <x:c r="M264" s="17"/>
      <x:c r="N264" s="17"/>
      <x:c r="O264" s="17"/>
      <x:c r="P264" s="17"/>
      <x:c r="Q264" s="17" t="str">
        <x:f>IF(COUNT(L264:P264)&lt;5,"",ROUND((L264*25+M264*20+N264*20+O264*20+P264*15)/5,1))</x:f>
      </x:c>
      <x:c r="R264" s="18" t="str"/>
      <x:c r="S264" s="18" t="str"/>
      <x:c r="T264" s="17" t="str"/>
      <x:c r="U264" s="19"/>
    </x:row>
    <x:row r="265">
      <x:c r="A265" s="17" t="str">
        <x:v>MTS-0264</x:v>
      </x:c>
      <x:c r="B265" s="17" t="str">
        <x:v>Membership Renewal Manager</x:v>
      </x:c>
      <x:c r="C265" s="17" t="str">
        <x:v>Events and Nonprofits</x:v>
      </x:c>
      <x:c r="D265" s="17" t="str">
        <x:v>Mobile + SaaS</x:v>
      </x:c>
      <x:c r="E265" s="17" t="str">
        <x:v>Clubs and nonprofits</x:v>
      </x:c>
      <x:c r="F265" s="18" t="str">
        <x:v>Membership Renewal Manager provides a focused events and nonprofits workflow for clubs and nonprofits.</x:v>
      </x:c>
      <x:c r="G265" s="18" t="str">
        <x:v>Events, Check-In, Payments, Reports</x:v>
      </x:c>
      <x:c r="H265" s="17" t="str">
        <x:v>Subscription</x:v>
      </x:c>
      <x:c r="I265" s="17" t="str">
        <x:v>Medium</x:v>
      </x:c>
      <x:c r="J265" s="17" t="str">
        <x:v>New candidate</x:v>
      </x:c>
      <x:c r="K265" s="17" t="str">
        <x:v>Unreviewed</x:v>
      </x:c>
      <x:c r="L265" s="17"/>
      <x:c r="M265" s="17"/>
      <x:c r="N265" s="17"/>
      <x:c r="O265" s="17"/>
      <x:c r="P265" s="17"/>
      <x:c r="Q265" s="17" t="str">
        <x:f>IF(COUNT(L265:P265)&lt;5,"",ROUND((L265*25+M265*20+N265*20+O265*20+P265*15)/5,1))</x:f>
      </x:c>
      <x:c r="R265" s="18" t="str"/>
      <x:c r="S265" s="18" t="str"/>
      <x:c r="T265" s="17" t="str"/>
      <x:c r="U265" s="19"/>
    </x:row>
    <x:row r="266">
      <x:c r="A266" s="17" t="str">
        <x:v>MTS-0265</x:v>
      </x:c>
      <x:c r="B266" s="17" t="str">
        <x:v>Pet Medication Tracker</x:v>
      </x:c>
      <x:c r="C266" s="17" t="str">
        <x:v>Family and Pet Care</x:v>
      </x:c>
      <x:c r="D266" s="17" t="str">
        <x:v>Mobile App</x:v>
      </x:c>
      <x:c r="E266" s="17" t="str">
        <x:v>Families and pet owners</x:v>
      </x:c>
      <x:c r="F266" s="18" t="str">
        <x:v>Pet Medication Tracker provides a focused family and pet care workflow for families and pet owners.</x:v>
      </x:c>
      <x:c r="G266" s="18" t="str">
        <x:v>Shared Records, Reminders, Reports</x:v>
      </x:c>
      <x:c r="H266" s="17" t="str">
        <x:v>Freemium</x:v>
      </x:c>
      <x:c r="I266" s="17" t="str">
        <x:v>Small</x:v>
      </x:c>
      <x:c r="J266" s="17" t="str">
        <x:v>New candidate</x:v>
      </x:c>
      <x:c r="K266" s="17" t="str">
        <x:v>Unreviewed</x:v>
      </x:c>
      <x:c r="L266" s="17"/>
      <x:c r="M266" s="17"/>
      <x:c r="N266" s="17"/>
      <x:c r="O266" s="17"/>
      <x:c r="P266" s="17"/>
      <x:c r="Q266" s="17" t="str">
        <x:f>IF(COUNT(L266:P266)&lt;5,"",ROUND((L266*25+M266*20+N266*20+O266*20+P266*15)/5,1))</x:f>
      </x:c>
      <x:c r="R266" s="18" t="str"/>
      <x:c r="S266" s="18" t="str"/>
      <x:c r="T266" s="17" t="str"/>
      <x:c r="U266" s="19"/>
    </x:row>
    <x:row r="267">
      <x:c r="A267" s="17" t="str">
        <x:v>MTS-0266</x:v>
      </x:c>
      <x:c r="B267" s="17" t="str">
        <x:v>Pet Sitter Report Card</x:v>
      </x:c>
      <x:c r="C267" s="17" t="str">
        <x:v>Family and Pet Care</x:v>
      </x:c>
      <x:c r="D267" s="17" t="str">
        <x:v>Mobile App</x:v>
      </x:c>
      <x:c r="E267" s="17" t="str">
        <x:v>Families and pet owners</x:v>
      </x:c>
      <x:c r="F267" s="18" t="str">
        <x:v>Pet Sitter Report Card provides a focused family and pet care workflow for families and pet owners.</x:v>
      </x:c>
      <x:c r="G267" s="18" t="str">
        <x:v>Shared Records, Reminders, Reports</x:v>
      </x:c>
      <x:c r="H267" s="17" t="str">
        <x:v>Freemium</x:v>
      </x:c>
      <x:c r="I267" s="17" t="str">
        <x:v>Small</x:v>
      </x:c>
      <x:c r="J267" s="17" t="str">
        <x:v>New candidate</x:v>
      </x:c>
      <x:c r="K267" s="17" t="str">
        <x:v>Unreviewed</x:v>
      </x:c>
      <x:c r="L267" s="17"/>
      <x:c r="M267" s="17"/>
      <x:c r="N267" s="17"/>
      <x:c r="O267" s="17"/>
      <x:c r="P267" s="17"/>
      <x:c r="Q267" s="17" t="str">
        <x:f>IF(COUNT(L267:P267)&lt;5,"",ROUND((L267*25+M267*20+N267*20+O267*20+P267*15)/5,1))</x:f>
      </x:c>
      <x:c r="R267" s="18" t="str"/>
      <x:c r="S267" s="18" t="str"/>
      <x:c r="T267" s="17" t="str"/>
      <x:c r="U267" s="19"/>
    </x:row>
    <x:row r="268">
      <x:c r="A268" s="17" t="str">
        <x:v>MTS-0267</x:v>
      </x:c>
      <x:c r="B268" s="17" t="str">
        <x:v>Dog Training Session Log</x:v>
      </x:c>
      <x:c r="C268" s="17" t="str">
        <x:v>Family and Pet Care</x:v>
      </x:c>
      <x:c r="D268" s="17" t="str">
        <x:v>Mobile App</x:v>
      </x:c>
      <x:c r="E268" s="17" t="str">
        <x:v>Families and pet owners</x:v>
      </x:c>
      <x:c r="F268" s="18" t="str">
        <x:v>Dog Training Session Log provides a focused family and pet care workflow for families and pet owners.</x:v>
      </x:c>
      <x:c r="G268" s="18" t="str">
        <x:v>Shared Records, Reminders, Reports</x:v>
      </x:c>
      <x:c r="H268" s="17" t="str">
        <x:v>Freemium</x:v>
      </x:c>
      <x:c r="I268" s="17" t="str">
        <x:v>Small</x:v>
      </x:c>
      <x:c r="J268" s="17" t="str">
        <x:v>New candidate</x:v>
      </x:c>
      <x:c r="K268" s="17" t="str">
        <x:v>Unreviewed</x:v>
      </x:c>
      <x:c r="L268" s="17"/>
      <x:c r="M268" s="17"/>
      <x:c r="N268" s="17"/>
      <x:c r="O268" s="17"/>
      <x:c r="P268" s="17"/>
      <x:c r="Q268" s="17" t="str">
        <x:f>IF(COUNT(L268:P268)&lt;5,"",ROUND((L268*25+M268*20+N268*20+O268*20+P268*15)/5,1))</x:f>
      </x:c>
      <x:c r="R268" s="18" t="str"/>
      <x:c r="S268" s="18" t="str"/>
      <x:c r="T268" s="17" t="str"/>
      <x:c r="U268" s="19"/>
    </x:row>
    <x:row r="269">
      <x:c r="A269" s="17" t="str">
        <x:v>MTS-0268</x:v>
      </x:c>
      <x:c r="B269" s="17" t="str">
        <x:v>Pet Vaccination Reminder</x:v>
      </x:c>
      <x:c r="C269" s="17" t="str">
        <x:v>Family and Pet Care</x:v>
      </x:c>
      <x:c r="D269" s="17" t="str">
        <x:v>Mobile App</x:v>
      </x:c>
      <x:c r="E269" s="17" t="str">
        <x:v>Families and pet owners</x:v>
      </x:c>
      <x:c r="F269" s="18" t="str">
        <x:v>Pet Vaccination Reminder provides a focused family and pet care workflow for families and pet owners.</x:v>
      </x:c>
      <x:c r="G269" s="18" t="str">
        <x:v>Shared Records, Reminders, Reports</x:v>
      </x:c>
      <x:c r="H269" s="17" t="str">
        <x:v>Freemium</x:v>
      </x:c>
      <x:c r="I269" s="17" t="str">
        <x:v>Small</x:v>
      </x:c>
      <x:c r="J269" s="17" t="str">
        <x:v>New candidate</x:v>
      </x:c>
      <x:c r="K269" s="17" t="str">
        <x:v>Unreviewed</x:v>
      </x:c>
      <x:c r="L269" s="17"/>
      <x:c r="M269" s="17"/>
      <x:c r="N269" s="17"/>
      <x:c r="O269" s="17"/>
      <x:c r="P269" s="17"/>
      <x:c r="Q269" s="17" t="str">
        <x:f>IF(COUNT(L269:P269)&lt;5,"",ROUND((L269*25+M269*20+N269*20+O269*20+P269*15)/5,1))</x:f>
      </x:c>
      <x:c r="R269" s="18" t="str"/>
      <x:c r="S269" s="18" t="str"/>
      <x:c r="T269" s="17" t="str"/>
      <x:c r="U269" s="19"/>
    </x:row>
    <x:row r="270">
      <x:c r="A270" s="17" t="str">
        <x:v>MTS-0269</x:v>
      </x:c>
      <x:c r="B270" s="17" t="str">
        <x:v>Caregiver Handoff Log</x:v>
      </x:c>
      <x:c r="C270" s="17" t="str">
        <x:v>Family and Pet Care</x:v>
      </x:c>
      <x:c r="D270" s="17" t="str">
        <x:v>Mobile App</x:v>
      </x:c>
      <x:c r="E270" s="17" t="str">
        <x:v>Families and pet owners</x:v>
      </x:c>
      <x:c r="F270" s="18" t="str">
        <x:v>Caregiver Handoff Log provides a focused family and pet care workflow for families and pet owners.</x:v>
      </x:c>
      <x:c r="G270" s="18" t="str">
        <x:v>Shared Records, Reminders, Reports</x:v>
      </x:c>
      <x:c r="H270" s="17" t="str">
        <x:v>Freemium</x:v>
      </x:c>
      <x:c r="I270" s="17" t="str">
        <x:v>Small</x:v>
      </x:c>
      <x:c r="J270" s="17" t="str">
        <x:v>New candidate</x:v>
      </x:c>
      <x:c r="K270" s="17" t="str">
        <x:v>Unreviewed</x:v>
      </x:c>
      <x:c r="L270" s="17"/>
      <x:c r="M270" s="17"/>
      <x:c r="N270" s="17"/>
      <x:c r="O270" s="17"/>
      <x:c r="P270" s="17"/>
      <x:c r="Q270" s="17" t="str">
        <x:f>IF(COUNT(L270:P270)&lt;5,"",ROUND((L270*25+M270*20+N270*20+O270*20+P270*15)/5,1))</x:f>
      </x:c>
      <x:c r="R270" s="18" t="str"/>
      <x:c r="S270" s="18" t="str"/>
      <x:c r="T270" s="17" t="str"/>
      <x:c r="U270" s="19"/>
    </x:row>
    <x:row r="271">
      <x:c r="A271" s="17" t="str">
        <x:v>MTS-0270</x:v>
      </x:c>
      <x:c r="B271" s="17" t="str">
        <x:v>Elder Visit Tracker</x:v>
      </x:c>
      <x:c r="C271" s="17" t="str">
        <x:v>Family and Pet Care</x:v>
      </x:c>
      <x:c r="D271" s="17" t="str">
        <x:v>Mobile App</x:v>
      </x:c>
      <x:c r="E271" s="17" t="str">
        <x:v>Families and pet owners</x:v>
      </x:c>
      <x:c r="F271" s="18" t="str">
        <x:v>Elder Visit Tracker provides a focused family and pet care workflow for families and pet owners.</x:v>
      </x:c>
      <x:c r="G271" s="18" t="str">
        <x:v>Shared Records, Reminders, Reports</x:v>
      </x:c>
      <x:c r="H271" s="17" t="str">
        <x:v>Freemium</x:v>
      </x:c>
      <x:c r="I271" s="17" t="str">
        <x:v>Small</x:v>
      </x:c>
      <x:c r="J271" s="17" t="str">
        <x:v>New candidate</x:v>
      </x:c>
      <x:c r="K271" s="17" t="str">
        <x:v>Unreviewed</x:v>
      </x:c>
      <x:c r="L271" s="17"/>
      <x:c r="M271" s="17"/>
      <x:c r="N271" s="17"/>
      <x:c r="O271" s="17"/>
      <x:c r="P271" s="17"/>
      <x:c r="Q271" s="17" t="str">
        <x:f>IF(COUNT(L271:P271)&lt;5,"",ROUND((L271*25+M271*20+N271*20+O271*20+P271*15)/5,1))</x:f>
      </x:c>
      <x:c r="R271" s="18" t="str"/>
      <x:c r="S271" s="18" t="str"/>
      <x:c r="T271" s="17" t="str"/>
      <x:c r="U271" s="19"/>
    </x:row>
    <x:row r="272">
      <x:c r="A272" s="17" t="str">
        <x:v>MTS-0271</x:v>
      </x:c>
      <x:c r="B272" s="17" t="str">
        <x:v>Family Packing Planner</x:v>
      </x:c>
      <x:c r="C272" s="17" t="str">
        <x:v>Family and Pet Care</x:v>
      </x:c>
      <x:c r="D272" s="17" t="str">
        <x:v>Mobile App</x:v>
      </x:c>
      <x:c r="E272" s="17" t="str">
        <x:v>Families and pet owners</x:v>
      </x:c>
      <x:c r="F272" s="18" t="str">
        <x:v>Family Packing Planner provides a focused family and pet care workflow for families and pet owners.</x:v>
      </x:c>
      <x:c r="G272" s="18" t="str">
        <x:v>Shared Records, Reminders, Reports</x:v>
      </x:c>
      <x:c r="H272" s="17" t="str">
        <x:v>Freemium</x:v>
      </x:c>
      <x:c r="I272" s="17" t="str">
        <x:v>Small</x:v>
      </x:c>
      <x:c r="J272" s="17" t="str">
        <x:v>New candidate</x:v>
      </x:c>
      <x:c r="K272" s="17" t="str">
        <x:v>Unreviewed</x:v>
      </x:c>
      <x:c r="L272" s="17"/>
      <x:c r="M272" s="17"/>
      <x:c r="N272" s="17"/>
      <x:c r="O272" s="17"/>
      <x:c r="P272" s="17"/>
      <x:c r="Q272" s="17" t="str">
        <x:f>IF(COUNT(L272:P272)&lt;5,"",ROUND((L272*25+M272*20+N272*20+O272*20+P272*15)/5,1))</x:f>
      </x:c>
      <x:c r="R272" s="18" t="str"/>
      <x:c r="S272" s="18" t="str"/>
      <x:c r="T272" s="17" t="str"/>
      <x:c r="U272" s="19"/>
    </x:row>
    <x:row r="273">
      <x:c r="A273" s="17" t="str">
        <x:v>MTS-0272</x:v>
      </x:c>
      <x:c r="B273" s="17" t="str">
        <x:v>Household Chore Tracker</x:v>
      </x:c>
      <x:c r="C273" s="17" t="str">
        <x:v>Family and Pet Care</x:v>
      </x:c>
      <x:c r="D273" s="17" t="str">
        <x:v>Mobile App</x:v>
      </x:c>
      <x:c r="E273" s="17" t="str">
        <x:v>Families and pet owners</x:v>
      </x:c>
      <x:c r="F273" s="18" t="str">
        <x:v>Household Chore Tracker provides a focused family and pet care workflow for families and pet owners.</x:v>
      </x:c>
      <x:c r="G273" s="18" t="str">
        <x:v>Shared Records, Reminders, Reports</x:v>
      </x:c>
      <x:c r="H273" s="17" t="str">
        <x:v>Freemium</x:v>
      </x:c>
      <x:c r="I273" s="17" t="str">
        <x:v>Small</x:v>
      </x:c>
      <x:c r="J273" s="17" t="str">
        <x:v>New candidate</x:v>
      </x:c>
      <x:c r="K273" s="17" t="str">
        <x:v>Unreviewed</x:v>
      </x:c>
      <x:c r="L273" s="17"/>
      <x:c r="M273" s="17"/>
      <x:c r="N273" s="17"/>
      <x:c r="O273" s="17"/>
      <x:c r="P273" s="17"/>
      <x:c r="Q273" s="17" t="str">
        <x:f>IF(COUNT(L273:P273)&lt;5,"",ROUND((L273*25+M273*20+N273*20+O273*20+P273*15)/5,1))</x:f>
      </x:c>
      <x:c r="R273" s="18" t="str"/>
      <x:c r="S273" s="18" t="str"/>
      <x:c r="T273" s="17" t="str"/>
      <x:c r="U273" s="19"/>
    </x:row>
    <x:row r="274">
      <x:c r="A274" s="17" t="str">
        <x:v>MTS-0273</x:v>
      </x:c>
      <x:c r="B274" s="17" t="str">
        <x:v>School Activity Organizer</x:v>
      </x:c>
      <x:c r="C274" s="17" t="str">
        <x:v>Family and Pet Care</x:v>
      </x:c>
      <x:c r="D274" s="17" t="str">
        <x:v>Mobile App</x:v>
      </x:c>
      <x:c r="E274" s="17" t="str">
        <x:v>Families and pet owners</x:v>
      </x:c>
      <x:c r="F274" s="18" t="str">
        <x:v>School Activity Organizer provides a focused family and pet care workflow for families and pet owners.</x:v>
      </x:c>
      <x:c r="G274" s="18" t="str">
        <x:v>Shared Records, Reminders, Reports</x:v>
      </x:c>
      <x:c r="H274" s="17" t="str">
        <x:v>Freemium</x:v>
      </x:c>
      <x:c r="I274" s="17" t="str">
        <x:v>Small</x:v>
      </x:c>
      <x:c r="J274" s="17" t="str">
        <x:v>New candidate</x:v>
      </x:c>
      <x:c r="K274" s="17" t="str">
        <x:v>Unreviewed</x:v>
      </x:c>
      <x:c r="L274" s="17"/>
      <x:c r="M274" s="17"/>
      <x:c r="N274" s="17"/>
      <x:c r="O274" s="17"/>
      <x:c r="P274" s="17"/>
      <x:c r="Q274" s="17" t="str">
        <x:f>IF(COUNT(L274:P274)&lt;5,"",ROUND((L274*25+M274*20+N274*20+O274*20+P274*15)/5,1))</x:f>
      </x:c>
      <x:c r="R274" s="18" t="str"/>
      <x:c r="S274" s="18" t="str"/>
      <x:c r="T274" s="17" t="str"/>
      <x:c r="U274" s="19"/>
    </x:row>
    <x:row r="275">
      <x:c r="A275" s="17" t="str">
        <x:v>MTS-0274</x:v>
      </x:c>
      <x:c r="B275" s="17" t="str">
        <x:v>Shared Shopping Planner</x:v>
      </x:c>
      <x:c r="C275" s="17" t="str">
        <x:v>Family and Pet Care</x:v>
      </x:c>
      <x:c r="D275" s="17" t="str">
        <x:v>Mobile App</x:v>
      </x:c>
      <x:c r="E275" s="17" t="str">
        <x:v>Families and pet owners</x:v>
      </x:c>
      <x:c r="F275" s="18" t="str">
        <x:v>Shared Shopping Planner provides a focused family and pet care workflow for families and pet owners.</x:v>
      </x:c>
      <x:c r="G275" s="18" t="str">
        <x:v>Shared Records, Reminders, Reports</x:v>
      </x:c>
      <x:c r="H275" s="17" t="str">
        <x:v>Freemium</x:v>
      </x:c>
      <x:c r="I275" s="17" t="str">
        <x:v>Small</x:v>
      </x:c>
      <x:c r="J275" s="17" t="str">
        <x:v>New candidate</x:v>
      </x:c>
      <x:c r="K275" s="17" t="str">
        <x:v>Unreviewed</x:v>
      </x:c>
      <x:c r="L275" s="17"/>
      <x:c r="M275" s="17"/>
      <x:c r="N275" s="17"/>
      <x:c r="O275" s="17"/>
      <x:c r="P275" s="17"/>
      <x:c r="Q275" s="17" t="str">
        <x:f>IF(COUNT(L275:P275)&lt;5,"",ROUND((L275*25+M275*20+N275*20+O275*20+P275*15)/5,1))</x:f>
      </x:c>
      <x:c r="R275" s="18" t="str"/>
      <x:c r="S275" s="18" t="str"/>
      <x:c r="T275" s="17" t="str"/>
      <x:c r="U275" s="19"/>
    </x:row>
    <x:row r="276">
      <x:c r="A276" s="17" t="str">
        <x:v>MTS-0275</x:v>
      </x:c>
      <x:c r="B276" s="17" t="str">
        <x:v>Family Schedule Board</x:v>
      </x:c>
      <x:c r="C276" s="17" t="str">
        <x:v>Family and Pet Care</x:v>
      </x:c>
      <x:c r="D276" s="17" t="str">
        <x:v>Mobile App</x:v>
      </x:c>
      <x:c r="E276" s="17" t="str">
        <x:v>Families and pet owners</x:v>
      </x:c>
      <x:c r="F276" s="18" t="str">
        <x:v>Family Schedule Board provides a focused family and pet care workflow for families and pet owners.</x:v>
      </x:c>
      <x:c r="G276" s="18" t="str">
        <x:v>Shared Records, Reminders, Reports</x:v>
      </x:c>
      <x:c r="H276" s="17" t="str">
        <x:v>Freemium</x:v>
      </x:c>
      <x:c r="I276" s="17" t="str">
        <x:v>Small</x:v>
      </x:c>
      <x:c r="J276" s="17" t="str">
        <x:v>New candidate</x:v>
      </x:c>
      <x:c r="K276" s="17" t="str">
        <x:v>Unreviewed</x:v>
      </x:c>
      <x:c r="L276" s="17"/>
      <x:c r="M276" s="17"/>
      <x:c r="N276" s="17"/>
      <x:c r="O276" s="17"/>
      <x:c r="P276" s="17"/>
      <x:c r="Q276" s="17" t="str">
        <x:f>IF(COUNT(L276:P276)&lt;5,"",ROUND((L276*25+M276*20+N276*20+O276*20+P276*15)/5,1))</x:f>
      </x:c>
      <x:c r="R276" s="18" t="str"/>
      <x:c r="S276" s="18" t="str"/>
      <x:c r="T276" s="17" t="str"/>
      <x:c r="U276" s="19"/>
    </x:row>
    <x:row r="277">
      <x:c r="A277" s="17" t="str">
        <x:v>MTS-0276</x:v>
      </x:c>
      <x:c r="B277" s="17" t="str">
        <x:v>Emergency Contact Cards</x:v>
      </x:c>
      <x:c r="C277" s="17" t="str">
        <x:v>Family and Pet Care</x:v>
      </x:c>
      <x:c r="D277" s="17" t="str">
        <x:v>Mobile App</x:v>
      </x:c>
      <x:c r="E277" s="17" t="str">
        <x:v>Families and pet owners</x:v>
      </x:c>
      <x:c r="F277" s="18" t="str">
        <x:v>Emergency Contact Cards provides a focused family and pet care workflow for families and pet owners.</x:v>
      </x:c>
      <x:c r="G277" s="18" t="str">
        <x:v>Shared Records, Reminders, Reports</x:v>
      </x:c>
      <x:c r="H277" s="17" t="str">
        <x:v>Freemium</x:v>
      </x:c>
      <x:c r="I277" s="17" t="str">
        <x:v>Small</x:v>
      </x:c>
      <x:c r="J277" s="17" t="str">
        <x:v>New candidate</x:v>
      </x:c>
      <x:c r="K277" s="17" t="str">
        <x:v>Unreviewed</x:v>
      </x:c>
      <x:c r="L277" s="17"/>
      <x:c r="M277" s="17"/>
      <x:c r="N277" s="17"/>
      <x:c r="O277" s="17"/>
      <x:c r="P277" s="17"/>
      <x:c r="Q277" s="17" t="str">
        <x:f>IF(COUNT(L277:P277)&lt;5,"",ROUND((L277*25+M277*20+N277*20+O277*20+P277*15)/5,1))</x:f>
      </x:c>
      <x:c r="R277" s="18" t="str"/>
      <x:c r="S277" s="18" t="str"/>
      <x:c r="T277" s="17" t="str"/>
      <x:c r="U277" s="19"/>
    </x:row>
    <x:row r="278">
      <x:c r="A278" s="17" t="str">
        <x:v>MTS-0277</x:v>
      </x:c>
      <x:c r="B278" s="17" t="str">
        <x:v>Website Security Inspection</x:v>
      </x:c>
      <x:c r="C278" s="17" t="str">
        <x:v>IT and Cybersecurity</x:v>
      </x:c>
      <x:c r="D278" s="17" t="str">
        <x:v>Web + Mobile</x:v>
      </x:c>
      <x:c r="E278" s="17" t="str">
        <x:v>Small IT teams</x:v>
      </x:c>
      <x:c r="F278" s="18" t="str">
        <x:v>Website Security Inspection provides a focused it and cybersecurity workflow for small it teams.</x:v>
      </x:c>
      <x:c r="G278" s="18" t="str">
        <x:v>Audit, Assets, Reminders, Reports</x:v>
      </x:c>
      <x:c r="H278" s="17" t="str">
        <x:v>Subscription</x:v>
      </x:c>
      <x:c r="I278" s="17" t="str">
        <x:v>Medium</x:v>
      </x:c>
      <x:c r="J278" s="17" t="str">
        <x:v>New candidate</x:v>
      </x:c>
      <x:c r="K278" s="17" t="str">
        <x:v>Unreviewed</x:v>
      </x:c>
      <x:c r="L278" s="17"/>
      <x:c r="M278" s="17"/>
      <x:c r="N278" s="17"/>
      <x:c r="O278" s="17"/>
      <x:c r="P278" s="17"/>
      <x:c r="Q278" s="17" t="str">
        <x:f>IF(COUNT(L278:P278)&lt;5,"",ROUND((L278*25+M278*20+N278*20+O278*20+P278*15)/5,1))</x:f>
      </x:c>
      <x:c r="R278" s="18" t="str"/>
      <x:c r="S278" s="18" t="str"/>
      <x:c r="T278" s="17" t="str"/>
      <x:c r="U278" s="19"/>
    </x:row>
    <x:row r="279">
      <x:c r="A279" s="17" t="str">
        <x:v>MTS-0278</x:v>
      </x:c>
      <x:c r="B279" s="17" t="str">
        <x:v>Business Device Inventory</x:v>
      </x:c>
      <x:c r="C279" s="17" t="str">
        <x:v>IT and Cybersecurity</x:v>
      </x:c>
      <x:c r="D279" s="17" t="str">
        <x:v>Web + Mobile</x:v>
      </x:c>
      <x:c r="E279" s="17" t="str">
        <x:v>Small IT teams</x:v>
      </x:c>
      <x:c r="F279" s="18" t="str">
        <x:v>Business Device Inventory provides a focused it and cybersecurity workflow for small it teams.</x:v>
      </x:c>
      <x:c r="G279" s="18" t="str">
        <x:v>Audit, Assets, Reminders, Reports</x:v>
      </x:c>
      <x:c r="H279" s="17" t="str">
        <x:v>Subscription</x:v>
      </x:c>
      <x:c r="I279" s="17" t="str">
        <x:v>Medium</x:v>
      </x:c>
      <x:c r="J279" s="17" t="str">
        <x:v>New candidate</x:v>
      </x:c>
      <x:c r="K279" s="17" t="str">
        <x:v>Unreviewed</x:v>
      </x:c>
      <x:c r="L279" s="17"/>
      <x:c r="M279" s="17"/>
      <x:c r="N279" s="17"/>
      <x:c r="O279" s="17"/>
      <x:c r="P279" s="17"/>
      <x:c r="Q279" s="17" t="str">
        <x:f>IF(COUNT(L279:P279)&lt;5,"",ROUND((L279*25+M279*20+N279*20+O279*20+P279*15)/5,1))</x:f>
      </x:c>
      <x:c r="R279" s="18" t="str"/>
      <x:c r="S279" s="18" t="str"/>
      <x:c r="T279" s="17" t="str"/>
      <x:c r="U279" s="19"/>
    </x:row>
    <x:row r="280">
      <x:c r="A280" s="17" t="str">
        <x:v>MTS-0279</x:v>
      </x:c>
      <x:c r="B280" s="17" t="str">
        <x:v>Network Closet Audit</x:v>
      </x:c>
      <x:c r="C280" s="17" t="str">
        <x:v>IT and Cybersecurity</x:v>
      </x:c>
      <x:c r="D280" s="17" t="str">
        <x:v>Web + Mobile</x:v>
      </x:c>
      <x:c r="E280" s="17" t="str">
        <x:v>Small IT teams</x:v>
      </x:c>
      <x:c r="F280" s="18" t="str">
        <x:v>Network Closet Audit provides a focused it and cybersecurity workflow for small it teams.</x:v>
      </x:c>
      <x:c r="G280" s="18" t="str">
        <x:v>Audit, Assets, Reminders, Reports</x:v>
      </x:c>
      <x:c r="H280" s="17" t="str">
        <x:v>Subscription</x:v>
      </x:c>
      <x:c r="I280" s="17" t="str">
        <x:v>Medium</x:v>
      </x:c>
      <x:c r="J280" s="17" t="str">
        <x:v>New candidate</x:v>
      </x:c>
      <x:c r="K280" s="17" t="str">
        <x:v>Unreviewed</x:v>
      </x:c>
      <x:c r="L280" s="17"/>
      <x:c r="M280" s="17"/>
      <x:c r="N280" s="17"/>
      <x:c r="O280" s="17"/>
      <x:c r="P280" s="17"/>
      <x:c r="Q280" s="17" t="str">
        <x:f>IF(COUNT(L280:P280)&lt;5,"",ROUND((L280*25+M280*20+N280*20+O280*20+P280*15)/5,1))</x:f>
      </x:c>
      <x:c r="R280" s="18" t="str"/>
      <x:c r="S280" s="18" t="str"/>
      <x:c r="T280" s="17" t="str"/>
      <x:c r="U280" s="19"/>
    </x:row>
    <x:row r="281">
      <x:c r="A281" s="17" t="str">
        <x:v>MTS-0280</x:v>
      </x:c>
      <x:c r="B281" s="17" t="str">
        <x:v>UPS Runtime Planner</x:v>
      </x:c>
      <x:c r="C281" s="17" t="str">
        <x:v>IT and Cybersecurity</x:v>
      </x:c>
      <x:c r="D281" s="17" t="str">
        <x:v>Web + Mobile</x:v>
      </x:c>
      <x:c r="E281" s="17" t="str">
        <x:v>Small IT teams</x:v>
      </x:c>
      <x:c r="F281" s="18" t="str">
        <x:v>UPS Runtime Planner provides a focused it and cybersecurity workflow for small it teams.</x:v>
      </x:c>
      <x:c r="G281" s="18" t="str">
        <x:v>Audit, Assets, Reminders, Reports</x:v>
      </x:c>
      <x:c r="H281" s="17" t="str">
        <x:v>Subscription</x:v>
      </x:c>
      <x:c r="I281" s="17" t="str">
        <x:v>Medium</x:v>
      </x:c>
      <x:c r="J281" s="17" t="str">
        <x:v>New candidate</x:v>
      </x:c>
      <x:c r="K281" s="17" t="str">
        <x:v>Unreviewed</x:v>
      </x:c>
      <x:c r="L281" s="17"/>
      <x:c r="M281" s="17"/>
      <x:c r="N281" s="17"/>
      <x:c r="O281" s="17"/>
      <x:c r="P281" s="17"/>
      <x:c r="Q281" s="17" t="str">
        <x:f>IF(COUNT(L281:P281)&lt;5,"",ROUND((L281*25+M281*20+N281*20+O281*20+P281*15)/5,1))</x:f>
      </x:c>
      <x:c r="R281" s="18" t="str"/>
      <x:c r="S281" s="18" t="str"/>
      <x:c r="T281" s="17" t="str"/>
      <x:c r="U281" s="19"/>
    </x:row>
    <x:row r="282">
      <x:c r="A282" s="17" t="str">
        <x:v>MTS-0281</x:v>
      </x:c>
      <x:c r="B282" s="17" t="str">
        <x:v>Patch Compliance Checklist</x:v>
      </x:c>
      <x:c r="C282" s="17" t="str">
        <x:v>IT and Cybersecurity</x:v>
      </x:c>
      <x:c r="D282" s="17" t="str">
        <x:v>Web + Mobile</x:v>
      </x:c>
      <x:c r="E282" s="17" t="str">
        <x:v>Small IT teams</x:v>
      </x:c>
      <x:c r="F282" s="18" t="str">
        <x:v>Patch Compliance Checklist provides a focused it and cybersecurity workflow for small it teams.</x:v>
      </x:c>
      <x:c r="G282" s="18" t="str">
        <x:v>Audit, Assets, Reminders, Reports</x:v>
      </x:c>
      <x:c r="H282" s="17" t="str">
        <x:v>Subscription</x:v>
      </x:c>
      <x:c r="I282" s="17" t="str">
        <x:v>Medium</x:v>
      </x:c>
      <x:c r="J282" s="17" t="str">
        <x:v>New candidate</x:v>
      </x:c>
      <x:c r="K282" s="17" t="str">
        <x:v>Unreviewed</x:v>
      </x:c>
      <x:c r="L282" s="17"/>
      <x:c r="M282" s="17"/>
      <x:c r="N282" s="17"/>
      <x:c r="O282" s="17"/>
      <x:c r="P282" s="17"/>
      <x:c r="Q282" s="17" t="str">
        <x:f>IF(COUNT(L282:P282)&lt;5,"",ROUND((L282*25+M282*20+N282*20+O282*20+P282*15)/5,1))</x:f>
      </x:c>
      <x:c r="R282" s="18" t="str"/>
      <x:c r="S282" s="18" t="str"/>
      <x:c r="T282" s="17" t="str"/>
      <x:c r="U282" s="19"/>
    </x:row>
    <x:row r="283">
      <x:c r="A283" s="17" t="str">
        <x:v>MTS-0282</x:v>
      </x:c>
      <x:c r="B283" s="17" t="str">
        <x:v>Backup Verification Log</x:v>
      </x:c>
      <x:c r="C283" s="17" t="str">
        <x:v>IT and Cybersecurity</x:v>
      </x:c>
      <x:c r="D283" s="17" t="str">
        <x:v>Web + Mobile</x:v>
      </x:c>
      <x:c r="E283" s="17" t="str">
        <x:v>Small IT teams</x:v>
      </x:c>
      <x:c r="F283" s="18" t="str">
        <x:v>Backup Verification Log provides a focused it and cybersecurity workflow for small it teams.</x:v>
      </x:c>
      <x:c r="G283" s="18" t="str">
        <x:v>Audit, Assets, Reminders, Reports</x:v>
      </x:c>
      <x:c r="H283" s="17" t="str">
        <x:v>Subscription</x:v>
      </x:c>
      <x:c r="I283" s="17" t="str">
        <x:v>Medium</x:v>
      </x:c>
      <x:c r="J283" s="17" t="str">
        <x:v>New candidate</x:v>
      </x:c>
      <x:c r="K283" s="17" t="str">
        <x:v>Unreviewed</x:v>
      </x:c>
      <x:c r="L283" s="17"/>
      <x:c r="M283" s="17"/>
      <x:c r="N283" s="17"/>
      <x:c r="O283" s="17"/>
      <x:c r="P283" s="17"/>
      <x:c r="Q283" s="17" t="str">
        <x:f>IF(COUNT(L283:P283)&lt;5,"",ROUND((L283*25+M283*20+N283*20+O283*20+P283*15)/5,1))</x:f>
      </x:c>
      <x:c r="R283" s="18" t="str"/>
      <x:c r="S283" s="18" t="str"/>
      <x:c r="T283" s="17" t="str"/>
      <x:c r="U283" s="19"/>
    </x:row>
    <x:row r="284">
      <x:c r="A284" s="17" t="str">
        <x:v>MTS-0283</x:v>
      </x:c>
      <x:c r="B284" s="17" t="str">
        <x:v>Credential Rotation Reminder</x:v>
      </x:c>
      <x:c r="C284" s="17" t="str">
        <x:v>IT and Cybersecurity</x:v>
      </x:c>
      <x:c r="D284" s="17" t="str">
        <x:v>Web + Mobile</x:v>
      </x:c>
      <x:c r="E284" s="17" t="str">
        <x:v>Small IT teams</x:v>
      </x:c>
      <x:c r="F284" s="18" t="str">
        <x:v>Credential Rotation Reminder provides a focused it and cybersecurity workflow for small it teams.</x:v>
      </x:c>
      <x:c r="G284" s="18" t="str">
        <x:v>Audit, Assets, Reminders, Reports</x:v>
      </x:c>
      <x:c r="H284" s="17" t="str">
        <x:v>Subscription</x:v>
      </x:c>
      <x:c r="I284" s="17" t="str">
        <x:v>Medium</x:v>
      </x:c>
      <x:c r="J284" s="17" t="str">
        <x:v>New candidate</x:v>
      </x:c>
      <x:c r="K284" s="17" t="str">
        <x:v>Unreviewed</x:v>
      </x:c>
      <x:c r="L284" s="17"/>
      <x:c r="M284" s="17"/>
      <x:c r="N284" s="17"/>
      <x:c r="O284" s="17"/>
      <x:c r="P284" s="17"/>
      <x:c r="Q284" s="17" t="str">
        <x:f>IF(COUNT(L284:P284)&lt;5,"",ROUND((L284*25+M284*20+N284*20+O284*20+P284*15)/5,1))</x:f>
      </x:c>
      <x:c r="R284" s="18" t="str"/>
      <x:c r="S284" s="18" t="str"/>
      <x:c r="T284" s="17" t="str"/>
      <x:c r="U284" s="19"/>
    </x:row>
    <x:row r="285">
      <x:c r="A285" s="17" t="str">
        <x:v>MTS-0284</x:v>
      </x:c>
      <x:c r="B285" s="17" t="str">
        <x:v>Cybersecurity Evidence Vault</x:v>
      </x:c>
      <x:c r="C285" s="17" t="str">
        <x:v>IT and Cybersecurity</x:v>
      </x:c>
      <x:c r="D285" s="17" t="str">
        <x:v>Web + Mobile</x:v>
      </x:c>
      <x:c r="E285" s="17" t="str">
        <x:v>Small IT teams</x:v>
      </x:c>
      <x:c r="F285" s="18" t="str">
        <x:v>Cybersecurity Evidence Vault provides a focused it and cybersecurity workflow for small it teams.</x:v>
      </x:c>
      <x:c r="G285" s="18" t="str">
        <x:v>Audit, Assets, Reminders, Reports</x:v>
      </x:c>
      <x:c r="H285" s="17" t="str">
        <x:v>Subscription</x:v>
      </x:c>
      <x:c r="I285" s="17" t="str">
        <x:v>Medium</x:v>
      </x:c>
      <x:c r="J285" s="17" t="str">
        <x:v>New candidate</x:v>
      </x:c>
      <x:c r="K285" s="17" t="str">
        <x:v>Unreviewed</x:v>
      </x:c>
      <x:c r="L285" s="17"/>
      <x:c r="M285" s="17"/>
      <x:c r="N285" s="17"/>
      <x:c r="O285" s="17"/>
      <x:c r="P285" s="17"/>
      <x:c r="Q285" s="17" t="str">
        <x:f>IF(COUNT(L285:P285)&lt;5,"",ROUND((L285*25+M285*20+N285*20+O285*20+P285*15)/5,1))</x:f>
      </x:c>
      <x:c r="R285" s="18" t="str"/>
      <x:c r="S285" s="18" t="str"/>
      <x:c r="T285" s="17" t="str"/>
      <x:c r="U285" s="19"/>
    </x:row>
    <x:row r="286">
      <x:c r="A286" s="17" t="str">
        <x:v>MTS-0285</x:v>
      </x:c>
      <x:c r="B286" s="17" t="str">
        <x:v>Server Maintenance Tracker</x:v>
      </x:c>
      <x:c r="C286" s="17" t="str">
        <x:v>IT and Cybersecurity</x:v>
      </x:c>
      <x:c r="D286" s="17" t="str">
        <x:v>Web + Mobile</x:v>
      </x:c>
      <x:c r="E286" s="17" t="str">
        <x:v>Small IT teams</x:v>
      </x:c>
      <x:c r="F286" s="18" t="str">
        <x:v>Server Maintenance Tracker provides a focused it and cybersecurity workflow for small it teams.</x:v>
      </x:c>
      <x:c r="G286" s="18" t="str">
        <x:v>Audit, Assets, Reminders, Reports</x:v>
      </x:c>
      <x:c r="H286" s="17" t="str">
        <x:v>Subscription</x:v>
      </x:c>
      <x:c r="I286" s="17" t="str">
        <x:v>Medium</x:v>
      </x:c>
      <x:c r="J286" s="17" t="str">
        <x:v>New candidate</x:v>
      </x:c>
      <x:c r="K286" s="17" t="str">
        <x:v>Unreviewed</x:v>
      </x:c>
      <x:c r="L286" s="17"/>
      <x:c r="M286" s="17"/>
      <x:c r="N286" s="17"/>
      <x:c r="O286" s="17"/>
      <x:c r="P286" s="17"/>
      <x:c r="Q286" s="17" t="str">
        <x:f>IF(COUNT(L286:P286)&lt;5,"",ROUND((L286*25+M286*20+N286*20+O286*20+P286*15)/5,1))</x:f>
      </x:c>
      <x:c r="R286" s="18" t="str"/>
      <x:c r="S286" s="18" t="str"/>
      <x:c r="T286" s="17" t="str"/>
      <x:c r="U286" s="19"/>
    </x:row>
    <x:row r="287">
      <x:c r="A287" s="17" t="str">
        <x:v>MTS-0286</x:v>
      </x:c>
      <x:c r="B287" s="17" t="str">
        <x:v>SSL Expiration Monitor</x:v>
      </x:c>
      <x:c r="C287" s="17" t="str">
        <x:v>IT and Cybersecurity</x:v>
      </x:c>
      <x:c r="D287" s="17" t="str">
        <x:v>Web + Mobile</x:v>
      </x:c>
      <x:c r="E287" s="17" t="str">
        <x:v>Small IT teams</x:v>
      </x:c>
      <x:c r="F287" s="18" t="str">
        <x:v>SSL Expiration Monitor provides a focused it and cybersecurity workflow for small it teams.</x:v>
      </x:c>
      <x:c r="G287" s="18" t="str">
        <x:v>Audit, Assets, Reminders, Reports</x:v>
      </x:c>
      <x:c r="H287" s="17" t="str">
        <x:v>Subscription</x:v>
      </x:c>
      <x:c r="I287" s="17" t="str">
        <x:v>Medium</x:v>
      </x:c>
      <x:c r="J287" s="17" t="str">
        <x:v>New candidate</x:v>
      </x:c>
      <x:c r="K287" s="17" t="str">
        <x:v>Unreviewed</x:v>
      </x:c>
      <x:c r="L287" s="17"/>
      <x:c r="M287" s="17"/>
      <x:c r="N287" s="17"/>
      <x:c r="O287" s="17"/>
      <x:c r="P287" s="17"/>
      <x:c r="Q287" s="17" t="str">
        <x:f>IF(COUNT(L287:P287)&lt;5,"",ROUND((L287*25+M287*20+N287*20+O287*20+P287*15)/5,1))</x:f>
      </x:c>
      <x:c r="R287" s="18" t="str"/>
      <x:c r="S287" s="18" t="str"/>
      <x:c r="T287" s="17" t="str"/>
      <x:c r="U287" s="19"/>
    </x:row>
    <x:row r="288">
      <x:c r="A288" s="17" t="str">
        <x:v>MTS-0287</x:v>
      </x:c>
      <x:c r="B288" s="17" t="str">
        <x:v>Domain Renewal Tracker</x:v>
      </x:c>
      <x:c r="C288" s="17" t="str">
        <x:v>IT and Cybersecurity</x:v>
      </x:c>
      <x:c r="D288" s="17" t="str">
        <x:v>Web + Mobile</x:v>
      </x:c>
      <x:c r="E288" s="17" t="str">
        <x:v>Small IT teams</x:v>
      </x:c>
      <x:c r="F288" s="18" t="str">
        <x:v>Domain Renewal Tracker provides a focused it and cybersecurity workflow for small it teams.</x:v>
      </x:c>
      <x:c r="G288" s="18" t="str">
        <x:v>Audit, Assets, Reminders, Reports</x:v>
      </x:c>
      <x:c r="H288" s="17" t="str">
        <x:v>Subscription</x:v>
      </x:c>
      <x:c r="I288" s="17" t="str">
        <x:v>Medium</x:v>
      </x:c>
      <x:c r="J288" s="17" t="str">
        <x:v>New candidate</x:v>
      </x:c>
      <x:c r="K288" s="17" t="str">
        <x:v>Unreviewed</x:v>
      </x:c>
      <x:c r="L288" s="17"/>
      <x:c r="M288" s="17"/>
      <x:c r="N288" s="17"/>
      <x:c r="O288" s="17"/>
      <x:c r="P288" s="17"/>
      <x:c r="Q288" s="17" t="str">
        <x:f>IF(COUNT(L288:P288)&lt;5,"",ROUND((L288*25+M288*20+N288*20+O288*20+P288*15)/5,1))</x:f>
      </x:c>
      <x:c r="R288" s="18" t="str"/>
      <x:c r="S288" s="18" t="str"/>
      <x:c r="T288" s="17" t="str"/>
      <x:c r="U288" s="19"/>
    </x:row>
    <x:row r="289">
      <x:c r="A289" s="17" t="str">
        <x:v>MTS-0288</x:v>
      </x:c>
      <x:c r="B289" s="17" t="str">
        <x:v>API Key Inventory Without Secrets</x:v>
      </x:c>
      <x:c r="C289" s="17" t="str">
        <x:v>IT and Cybersecurity</x:v>
      </x:c>
      <x:c r="D289" s="17" t="str">
        <x:v>Web + Mobile</x:v>
      </x:c>
      <x:c r="E289" s="17" t="str">
        <x:v>Small IT teams</x:v>
      </x:c>
      <x:c r="F289" s="18" t="str">
        <x:v>API Key Inventory Without Secrets provides a focused it and cybersecurity workflow for small it teams.</x:v>
      </x:c>
      <x:c r="G289" s="18" t="str">
        <x:v>Audit, Assets, Reminders, Reports</x:v>
      </x:c>
      <x:c r="H289" s="17" t="str">
        <x:v>Subscription</x:v>
      </x:c>
      <x:c r="I289" s="17" t="str">
        <x:v>Medium</x:v>
      </x:c>
      <x:c r="J289" s="17" t="str">
        <x:v>New candidate</x:v>
      </x:c>
      <x:c r="K289" s="17" t="str">
        <x:v>Unreviewed</x:v>
      </x:c>
      <x:c r="L289" s="17"/>
      <x:c r="M289" s="17"/>
      <x:c r="N289" s="17"/>
      <x:c r="O289" s="17"/>
      <x:c r="P289" s="17"/>
      <x:c r="Q289" s="17" t="str">
        <x:f>IF(COUNT(L289:P289)&lt;5,"",ROUND((L289*25+M289*20+N289*20+O289*20+P289*15)/5,1))</x:f>
      </x:c>
      <x:c r="R289" s="18" t="str"/>
      <x:c r="S289" s="18" t="str"/>
      <x:c r="T289" s="17" t="str"/>
      <x:c r="U289" s="19"/>
    </x:row>
    <x:row r="290">
      <x:c r="A290" s="17" t="str">
        <x:v>MTS-0289</x:v>
      </x:c>
      <x:c r="B290" s="17" t="str">
        <x:v>App Permission Auditor</x:v>
      </x:c>
      <x:c r="C290" s="17" t="str">
        <x:v>Security and Privacy</x:v>
      </x:c>
      <x:c r="D290" s="17" t="str">
        <x:v>Mobile + Desktop</x:v>
      </x:c>
      <x:c r="E290" s="17" t="str">
        <x:v>Consumers and families</x:v>
      </x:c>
      <x:c r="F290" s="18" t="str">
        <x:v>App Permission Auditor provides a focused security and privacy workflow for consumers and families.</x:v>
      </x:c>
      <x:c r="G290" s="18" t="str">
        <x:v>Security Scan, Privacy Audit, Network, Alerts</x:v>
      </x:c>
      <x:c r="H290" s="17" t="str">
        <x:v>Freemium + Pro</x:v>
      </x:c>
      <x:c r="I290" s="17" t="str">
        <x:v>Medium</x:v>
      </x:c>
      <x:c r="J290" s="17" t="str">
        <x:v>New candidate</x:v>
      </x:c>
      <x:c r="K290" s="17" t="str">
        <x:v>Unreviewed</x:v>
      </x:c>
      <x:c r="L290" s="17"/>
      <x:c r="M290" s="17"/>
      <x:c r="N290" s="17"/>
      <x:c r="O290" s="17"/>
      <x:c r="P290" s="17"/>
      <x:c r="Q290" s="17" t="str">
        <x:f>IF(COUNT(L290:P290)&lt;5,"",ROUND((L290*25+M290*20+N290*20+O290*20+P290*15)/5,1))</x:f>
      </x:c>
      <x:c r="R290" s="18" t="str">
        <x:v>Strong Android MVP using installed-app and permission metadata; iOS requires a guided checklist rather than a full app inventory.</x:v>
      </x:c>
      <x:c r="S290" s="18" t="str"/>
      <x:c r="T290" s="17" t="str"/>
      <x:c r="U290" s="19"/>
    </x:row>
    <x:row r="291">
      <x:c r="A291" s="17" t="str">
        <x:v>MTS-0290</x:v>
      </x:c>
      <x:c r="B291" s="17" t="str">
        <x:v>WiFi Security Check</x:v>
      </x:c>
      <x:c r="C291" s="17" t="str">
        <x:v>Security and Privacy</x:v>
      </x:c>
      <x:c r="D291" s="17" t="str">
        <x:v>Mobile + Desktop</x:v>
      </x:c>
      <x:c r="E291" s="17" t="str">
        <x:v>Consumers and families</x:v>
      </x:c>
      <x:c r="F291" s="18" t="str">
        <x:v>WiFi Security Check provides a focused security and privacy workflow for consumers and families.</x:v>
      </x:c>
      <x:c r="G291" s="18" t="str">
        <x:v>Security Scan, Privacy Audit, Network, Alerts</x:v>
      </x:c>
      <x:c r="H291" s="17" t="str">
        <x:v>Freemium + Pro</x:v>
      </x:c>
      <x:c r="I291" s="17" t="str">
        <x:v>Medium</x:v>
      </x:c>
      <x:c r="J291" s="17" t="str">
        <x:v>New candidate</x:v>
      </x:c>
      <x:c r="K291" s="17" t="str">
        <x:v>Unreviewed</x:v>
      </x:c>
      <x:c r="L291" s="17"/>
      <x:c r="M291" s="17"/>
      <x:c r="N291" s="17"/>
      <x:c r="O291" s="17"/>
      <x:c r="P291" s="17"/>
      <x:c r="Q291" s="17" t="str">
        <x:f>IF(COUNT(L291:P291)&lt;5,"",ROUND((L291*25+M291*20+N291*20+O291*20+P291*15)/5,1))</x:f>
      </x:c>
      <x:c r="R291" s="18" t="str">
        <x:v>Analyze local connection configuration and router hygiene without claiming to prove a network is secure.</x:v>
      </x:c>
      <x:c r="S291" s="18" t="str"/>
      <x:c r="T291" s="17" t="str"/>
      <x:c r="U291" s="19"/>
    </x:row>
    <x:row r="292">
      <x:c r="A292" s="17" t="str">
        <x:v>MTS-0291</x:v>
      </x:c>
      <x:c r="B292" s="17" t="str">
        <x:v>Home Network Device Scanner</x:v>
      </x:c>
      <x:c r="C292" s="17" t="str">
        <x:v>Security and Privacy</x:v>
      </x:c>
      <x:c r="D292" s="17" t="str">
        <x:v>Mobile + Desktop</x:v>
      </x:c>
      <x:c r="E292" s="17" t="str">
        <x:v>Consumers and families</x:v>
      </x:c>
      <x:c r="F292" s="18" t="str">
        <x:v>Home Network Device Scanner provides a focused security and privacy workflow for consumers and families.</x:v>
      </x:c>
      <x:c r="G292" s="18" t="str">
        <x:v>Security Scan, Privacy Audit, Network, Alerts</x:v>
      </x:c>
      <x:c r="H292" s="17" t="str">
        <x:v>Freemium + Pro</x:v>
      </x:c>
      <x:c r="I292" s="17" t="str">
        <x:v>Medium</x:v>
      </x:c>
      <x:c r="J292" s="17" t="str">
        <x:v>New candidate</x:v>
      </x:c>
      <x:c r="K292" s="17" t="str">
        <x:v>Unreviewed</x:v>
      </x:c>
      <x:c r="L292" s="17"/>
      <x:c r="M292" s="17"/>
      <x:c r="N292" s="17"/>
      <x:c r="O292" s="17"/>
      <x:c r="P292" s="17"/>
      <x:c r="Q292" s="17" t="str">
        <x:f>IF(COUNT(L292:P292)&lt;5,"",ROUND((L292*25+M292*20+N292*20+O292*20+P292*15)/5,1))</x:f>
      </x:c>
      <x:c r="R292" s="18" t="str">
        <x:v>Useful and feasible on a local network, with platform permission and router-isolation limitations.</x:v>
      </x:c>
      <x:c r="S292" s="18" t="str"/>
      <x:c r="T292" s="17" t="str"/>
      <x:c r="U292" s="19"/>
    </x:row>
    <x:row r="293">
      <x:c r="A293" s="17" t="str">
        <x:v>MTS-0292</x:v>
      </x:c>
      <x:c r="B293" s="17" t="str">
        <x:v>QR and Link Safety Scanner</x:v>
      </x:c>
      <x:c r="C293" s="17" t="str">
        <x:v>Security and Privacy</x:v>
      </x:c>
      <x:c r="D293" s="17" t="str">
        <x:v>Mobile + Desktop</x:v>
      </x:c>
      <x:c r="E293" s="17" t="str">
        <x:v>Consumers and families</x:v>
      </x:c>
      <x:c r="F293" s="18" t="str">
        <x:v>QR and Link Safety Scanner provides a focused security and privacy workflow for consumers and families.</x:v>
      </x:c>
      <x:c r="G293" s="18" t="str">
        <x:v>Security Scan, Privacy Audit, Network, Alerts</x:v>
      </x:c>
      <x:c r="H293" s="17" t="str">
        <x:v>Freemium + Pro</x:v>
      </x:c>
      <x:c r="I293" s="17" t="str">
        <x:v>Medium</x:v>
      </x:c>
      <x:c r="J293" s="17" t="str">
        <x:v>New candidate</x:v>
      </x:c>
      <x:c r="K293" s="17" t="str">
        <x:v>Unreviewed</x:v>
      </x:c>
      <x:c r="L293" s="17"/>
      <x:c r="M293" s="17"/>
      <x:c r="N293" s="17"/>
      <x:c r="O293" s="17"/>
      <x:c r="P293" s="17"/>
      <x:c r="Q293" s="17" t="str">
        <x:f>IF(COUNT(L293:P293)&lt;5,"",ROUND((L293*25+M293*20+N293*20+O293*20+P293*15)/5,1))</x:f>
      </x:c>
      <x:c r="R293" s="18" t="str">
        <x:v>Fast MVP using URL parsing and optional reputation APIs; requires careful false-positive language.</x:v>
      </x:c>
      <x:c r="S293" s="18" t="str"/>
      <x:c r="T293" s="17" t="str"/>
      <x:c r="U293" s="19"/>
    </x:row>
    <x:row r="294">
      <x:c r="A294" s="17" t="str">
        <x:v>MTS-0293</x:v>
      </x:c>
      <x:c r="B294" s="17" t="str">
        <x:v>Security Update Tracker</x:v>
      </x:c>
      <x:c r="C294" s="17" t="str">
        <x:v>Security and Privacy</x:v>
      </x:c>
      <x:c r="D294" s="17" t="str">
        <x:v>Mobile + Desktop</x:v>
      </x:c>
      <x:c r="E294" s="17" t="str">
        <x:v>Consumers and families</x:v>
      </x:c>
      <x:c r="F294" s="18" t="str">
        <x:v>Security Update Tracker provides a focused security and privacy workflow for consumers and families.</x:v>
      </x:c>
      <x:c r="G294" s="18" t="str">
        <x:v>Security Scan, Privacy Audit, Network, Alerts</x:v>
      </x:c>
      <x:c r="H294" s="17" t="str">
        <x:v>Freemium + Pro</x:v>
      </x:c>
      <x:c r="I294" s="17" t="str">
        <x:v>Medium</x:v>
      </x:c>
      <x:c r="J294" s="17" t="str">
        <x:v>New candidate</x:v>
      </x:c>
      <x:c r="K294" s="17" t="str">
        <x:v>Unreviewed</x:v>
      </x:c>
      <x:c r="L294" s="17"/>
      <x:c r="M294" s="17"/>
      <x:c r="N294" s="17"/>
      <x:c r="O294" s="17"/>
      <x:c r="P294" s="17"/>
      <x:c r="Q294" s="17" t="str">
        <x:f>IF(COUNT(L294:P294)&lt;5,"",ROUND((L294*25+M294*20+N294*20+O294*20+P294*15)/5,1))</x:f>
      </x:c>
      <x:c r="R294" s="18" t="str">
        <x:v>Feasible for OS and selected software; cross-platform application patch coverage increases maintenance.</x:v>
      </x:c>
      <x:c r="S294" s="18" t="str"/>
      <x:c r="T294" s="17" t="str"/>
      <x:c r="U294" s="19"/>
    </x:row>
    <x:row r="295">
      <x:c r="A295" s="17" t="str">
        <x:v>MTS-0294</x:v>
      </x:c>
      <x:c r="B295" s="17" t="str">
        <x:v>Breach Alert Organizer</x:v>
      </x:c>
      <x:c r="C295" s="17" t="str">
        <x:v>Security and Privacy</x:v>
      </x:c>
      <x:c r="D295" s="17" t="str">
        <x:v>Mobile + Desktop</x:v>
      </x:c>
      <x:c r="E295" s="17" t="str">
        <x:v>Consumers and families</x:v>
      </x:c>
      <x:c r="F295" s="18" t="str">
        <x:v>Breach Alert Organizer provides a focused security and privacy workflow for consumers and families.</x:v>
      </x:c>
      <x:c r="G295" s="18" t="str">
        <x:v>Security Scan, Privacy Audit, Network, Alerts</x:v>
      </x:c>
      <x:c r="H295" s="17" t="str">
        <x:v>Freemium + Pro</x:v>
      </x:c>
      <x:c r="I295" s="17" t="str">
        <x:v>Medium</x:v>
      </x:c>
      <x:c r="J295" s="17" t="str">
        <x:v>New candidate</x:v>
      </x:c>
      <x:c r="K295" s="17" t="str">
        <x:v>Unreviewed</x:v>
      </x:c>
      <x:c r="L295" s="17"/>
      <x:c r="M295" s="17"/>
      <x:c r="N295" s="17"/>
      <x:c r="O295" s="17"/>
      <x:c r="P295" s="17"/>
      <x:c r="Q295" s="17" t="str">
        <x:f>IF(COUNT(L295:P295)&lt;5,"",ROUND((L295*25+M295*20+N295*20+O295*20+P295*15)/5,1))</x:f>
      </x:c>
      <x:c r="R295" s="18" t="str">
        <x:v>Requires a reputable breach-data API and privacy-preserving identifier handling.</x:v>
      </x:c>
      <x:c r="S295" s="18" t="str"/>
      <x:c r="T295" s="17" t="str"/>
      <x:c r="U295" s="19"/>
    </x:row>
    <x:row r="296">
      <x:c r="A296" s="17" t="str">
        <x:v>MTS-0295</x:v>
      </x:c>
      <x:c r="B296" s="17" t="str">
        <x:v>Password Health Checklist</x:v>
      </x:c>
      <x:c r="C296" s="17" t="str">
        <x:v>Security and Privacy</x:v>
      </x:c>
      <x:c r="D296" s="17" t="str">
        <x:v>Mobile + Desktop</x:v>
      </x:c>
      <x:c r="E296" s="17" t="str">
        <x:v>Consumers and families</x:v>
      </x:c>
      <x:c r="F296" s="18" t="str">
        <x:v>Password Health Checklist provides a focused security and privacy workflow for consumers and families.</x:v>
      </x:c>
      <x:c r="G296" s="18" t="str">
        <x:v>Security Scan, Privacy Audit, Network, Alerts</x:v>
      </x:c>
      <x:c r="H296" s="17" t="str">
        <x:v>Freemium + Pro</x:v>
      </x:c>
      <x:c r="I296" s="17" t="str">
        <x:v>Medium</x:v>
      </x:c>
      <x:c r="J296" s="17" t="str">
        <x:v>New candidate</x:v>
      </x:c>
      <x:c r="K296" s="17" t="str">
        <x:v>Unreviewed</x:v>
      </x:c>
      <x:c r="L296" s="17"/>
      <x:c r="M296" s="17"/>
      <x:c r="N296" s="17"/>
      <x:c r="O296" s="17"/>
      <x:c r="P296" s="17"/>
      <x:c r="Q296" s="17" t="str">
        <x:f>IF(COUNT(L296:P296)&lt;5,"",ROUND((L296*25+M296*20+N296*20+O296*20+P296*15)/5,1))</x:f>
      </x:c>
      <x:c r="R296" s="18" t="str">
        <x:v>Keep the MVP educational and local; do not collect or store raw passwords.</x:v>
      </x:c>
      <x:c r="S296" s="18" t="str"/>
      <x:c r="T296" s="17" t="str"/>
      <x:c r="U296" s="19"/>
    </x:row>
    <x:row r="297">
      <x:c r="A297" s="17" t="str">
        <x:v>MTS-0296</x:v>
      </x:c>
      <x:c r="B297" s="17" t="str">
        <x:v>Account Recovery Binder</x:v>
      </x:c>
      <x:c r="C297" s="17" t="str">
        <x:v>Security and Privacy</x:v>
      </x:c>
      <x:c r="D297" s="17" t="str">
        <x:v>Mobile + Desktop</x:v>
      </x:c>
      <x:c r="E297" s="17" t="str">
        <x:v>Consumers and families</x:v>
      </x:c>
      <x:c r="F297" s="18" t="str">
        <x:v>Account Recovery Binder provides a focused security and privacy workflow for consumers and families.</x:v>
      </x:c>
      <x:c r="G297" s="18" t="str">
        <x:v>Security Scan, Privacy Audit, Network, Alerts</x:v>
      </x:c>
      <x:c r="H297" s="17" t="str">
        <x:v>Freemium + Pro</x:v>
      </x:c>
      <x:c r="I297" s="17" t="str">
        <x:v>Medium</x:v>
      </x:c>
      <x:c r="J297" s="17" t="str">
        <x:v>New candidate</x:v>
      </x:c>
      <x:c r="K297" s="17" t="str">
        <x:v>Unreviewed</x:v>
      </x:c>
      <x:c r="L297" s="17"/>
      <x:c r="M297" s="17"/>
      <x:c r="N297" s="17"/>
      <x:c r="O297" s="17"/>
      <x:c r="P297" s="17"/>
      <x:c r="Q297" s="17" t="str">
        <x:f>IF(COUNT(L297:P297)&lt;5,"",ROUND((L297*25+M297*20+N297*20+O297*20+P297*15)/5,1))</x:f>
      </x:c>
      <x:c r="R297" s="18" t="str">
        <x:v>Encrypted local recovery-plan records; never position as a password vault without a dedicated security review.</x:v>
      </x:c>
      <x:c r="S297" s="18" t="str"/>
      <x:c r="T297" s="17" t="str"/>
      <x:c r="U297" s="19"/>
    </x:row>
    <x:row r="298">
      <x:c r="A298" s="17" t="str">
        <x:v>MTS-0297</x:v>
      </x:c>
      <x:c r="B298" s="17" t="str">
        <x:v>Phishing Screenshot Analyzer</x:v>
      </x:c>
      <x:c r="C298" s="17" t="str">
        <x:v>Security and Privacy</x:v>
      </x:c>
      <x:c r="D298" s="17" t="str">
        <x:v>Mobile + Desktop</x:v>
      </x:c>
      <x:c r="E298" s="17" t="str">
        <x:v>Consumers and families</x:v>
      </x:c>
      <x:c r="F298" s="18" t="str">
        <x:v>Phishing Screenshot Analyzer provides a focused security and privacy workflow for consumers and families.</x:v>
      </x:c>
      <x:c r="G298" s="18" t="str">
        <x:v>Security Scan, Privacy Audit, Network, Alerts</x:v>
      </x:c>
      <x:c r="H298" s="17" t="str">
        <x:v>Freemium + Pro</x:v>
      </x:c>
      <x:c r="I298" s="17" t="str">
        <x:v>Medium</x:v>
      </x:c>
      <x:c r="J298" s="17" t="str">
        <x:v>New candidate</x:v>
      </x:c>
      <x:c r="K298" s="17" t="str">
        <x:v>Unreviewed</x:v>
      </x:c>
      <x:c r="L298" s="17"/>
      <x:c r="M298" s="17"/>
      <x:c r="N298" s="17"/>
      <x:c r="O298" s="17"/>
      <x:c r="P298" s="17"/>
      <x:c r="Q298" s="17" t="str">
        <x:f>IF(COUNT(L298:P298)&lt;5,"",ROUND((L298*25+M298*20+N298*20+O298*20+P298*15)/5,1))</x:f>
      </x:c>
      <x:c r="R298" s="18" t="str">
        <x:v>Medium-to-large product because OCR/model results need warnings, privacy controls, and ongoing evaluation.</x:v>
      </x:c>
      <x:c r="S298" s="18" t="str"/>
      <x:c r="T298" s="17" t="str"/>
      <x:c r="U298" s="19"/>
    </x:row>
    <x:row r="299">
      <x:c r="A299" s="17" t="str">
        <x:v>MTS-0298</x:v>
      </x:c>
      <x:c r="B299" s="17" t="str">
        <x:v>Privacy Settings Coach</x:v>
      </x:c>
      <x:c r="C299" s="17" t="str">
        <x:v>Security and Privacy</x:v>
      </x:c>
      <x:c r="D299" s="17" t="str">
        <x:v>Mobile + Desktop</x:v>
      </x:c>
      <x:c r="E299" s="17" t="str">
        <x:v>Consumers and families</x:v>
      </x:c>
      <x:c r="F299" s="18" t="str">
        <x:v>Privacy Settings Coach provides a focused security and privacy workflow for consumers and families.</x:v>
      </x:c>
      <x:c r="G299" s="18" t="str">
        <x:v>Security Scan, Privacy Audit, Network, Alerts</x:v>
      </x:c>
      <x:c r="H299" s="17" t="str">
        <x:v>Freemium + Pro</x:v>
      </x:c>
      <x:c r="I299" s="17" t="str">
        <x:v>Medium</x:v>
      </x:c>
      <x:c r="J299" s="17" t="str">
        <x:v>New candidate</x:v>
      </x:c>
      <x:c r="K299" s="17" t="str">
        <x:v>Unreviewed</x:v>
      </x:c>
      <x:c r="L299" s="17"/>
      <x:c r="M299" s="17"/>
      <x:c r="N299" s="17"/>
      <x:c r="O299" s="17"/>
      <x:c r="P299" s="17"/>
      <x:c r="Q299" s="17" t="str">
        <x:f>IF(COUNT(L299:P299)&lt;5,"",ROUND((L299*25+M299*20+N299*20+O299*20+P299*15)/5,1))</x:f>
      </x:c>
      <x:c r="R299" s="18" t="str">
        <x:v>Low-risk guided product, but instructions need routine updates when operating systems change.</x:v>
      </x:c>
      <x:c r="S299" s="18" t="str"/>
      <x:c r="T299" s="17" t="str"/>
      <x:c r="U299" s="19"/>
    </x:row>
    <x:row r="300">
      <x:c r="A300" s="17" t="str">
        <x:v>MTS-0299</x:v>
      </x:c>
      <x:c r="B300" s="17" t="str">
        <x:v>Device Security Scorecard</x:v>
      </x:c>
      <x:c r="C300" s="17" t="str">
        <x:v>Security and Privacy</x:v>
      </x:c>
      <x:c r="D300" s="17" t="str">
        <x:v>Mobile + Desktop</x:v>
      </x:c>
      <x:c r="E300" s="17" t="str">
        <x:v>Consumers and families</x:v>
      </x:c>
      <x:c r="F300" s="18" t="str">
        <x:v>Device Security Scorecard provides a focused security and privacy workflow for consumers and families.</x:v>
      </x:c>
      <x:c r="G300" s="18" t="str">
        <x:v>Security Scan, Privacy Audit, Network, Alerts</x:v>
      </x:c>
      <x:c r="H300" s="17" t="str">
        <x:v>Freemium + Pro</x:v>
      </x:c>
      <x:c r="I300" s="17" t="str">
        <x:v>Medium</x:v>
      </x:c>
      <x:c r="J300" s="17" t="str">
        <x:v>New candidate</x:v>
      </x:c>
      <x:c r="K300" s="17" t="str">
        <x:v>Unreviewed</x:v>
      </x:c>
      <x:c r="L300" s="17"/>
      <x:c r="M300" s="17"/>
      <x:c r="N300" s="17"/>
      <x:c r="O300" s="17"/>
      <x:c r="P300" s="17"/>
      <x:c r="Q300" s="17" t="str">
        <x:f>IF(COUNT(L300:P300)&lt;5,"",ROUND((L300*25+M300*20+N300*20+O300*20+P300*15)/5,1))</x:f>
      </x:c>
      <x:c r="R300" s="18" t="str">
        <x:v>Combine explainable checks only; avoid a misleading single claim that a device is safe.</x:v>
      </x:c>
      <x:c r="S300" s="18" t="str"/>
      <x:c r="T300" s="17" t="str"/>
      <x:c r="U300" s="19"/>
    </x:row>
    <x:row r="301">
      <x:c r="A301" s="17" t="str">
        <x:v>MTS-0300</x:v>
      </x:c>
      <x:c r="B301" s="17" t="str">
        <x:v>Family Cyber Safety Checkup</x:v>
      </x:c>
      <x:c r="C301" s="17" t="str">
        <x:v>Security and Privacy</x:v>
      </x:c>
      <x:c r="D301" s="17" t="str">
        <x:v>Mobile + Desktop</x:v>
      </x:c>
      <x:c r="E301" s="17" t="str">
        <x:v>Consumers and families</x:v>
      </x:c>
      <x:c r="F301" s="18" t="str">
        <x:v>Family Cyber Safety Checkup provides a focused security and privacy workflow for consumers and families.</x:v>
      </x:c>
      <x:c r="G301" s="18" t="str">
        <x:v>Security Scan, Privacy Audit, Network, Alerts</x:v>
      </x:c>
      <x:c r="H301" s="17" t="str">
        <x:v>Freemium + Pro</x:v>
      </x:c>
      <x:c r="I301" s="17" t="str">
        <x:v>Medium</x:v>
      </x:c>
      <x:c r="J301" s="17" t="str">
        <x:v>New candidate</x:v>
      </x:c>
      <x:c r="K301" s="17" t="str">
        <x:v>Unreviewed</x:v>
      </x:c>
      <x:c r="L301" s="17"/>
      <x:c r="M301" s="17"/>
      <x:c r="N301" s="17"/>
      <x:c r="O301" s="17"/>
      <x:c r="P301" s="17"/>
      <x:c r="Q301" s="17" t="str">
        <x:f>IF(COUNT(L301:P301)&lt;5,"",ROUND((L301*25+M301*20+N301*20+O301*20+P301*15)/5,1))</x:f>
      </x:c>
      <x:c r="R301" s="18" t="str">
        <x:v>Checklist and education MVP is straightforward and can reuse reports, reminders, and profiles.</x:v>
      </x:c>
      <x:c r="S301" s="18" t="str"/>
      <x:c r="T301" s="17" t="str"/>
      <x:c r="U301" s="19"/>
    </x:row>
    <x:row r="302">
      <x:c r="A302" s="17" t="str">
        <x:v>MTS-0301</x:v>
      </x:c>
      <x:c r="B302" s="17" t="str">
        <x:v>Storage Cleanup Assistant</x:v>
      </x:c>
      <x:c r="C302" s="17" t="str">
        <x:v>Device Cleanup and Maintenance</x:v>
      </x:c>
      <x:c r="D302" s="17" t="str">
        <x:v>Mobile + Desktop</x:v>
      </x:c>
      <x:c r="E302" s="17" t="str">
        <x:v>Phone and computer owners</x:v>
      </x:c>
      <x:c r="F302" s="18" t="str">
        <x:v>Storage Cleanup Assistant provides a focused device cleanup and maintenance workflow for phone and computer owners.</x:v>
      </x:c>
      <x:c r="G302" s="18" t="str">
        <x:v>Storage Scan, Duplicates, Cleanup, Reports</x:v>
      </x:c>
      <x:c r="H302" s="17" t="str">
        <x:v>Freemium + Pro</x:v>
      </x:c>
      <x:c r="I302" s="17" t="str">
        <x:v>Medium</x:v>
      </x:c>
      <x:c r="J302" s="17" t="str">
        <x:v>New candidate</x:v>
      </x:c>
      <x:c r="K302" s="17" t="str">
        <x:v>Unreviewed</x:v>
      </x:c>
      <x:c r="L302" s="17"/>
      <x:c r="M302" s="17"/>
      <x:c r="N302" s="17"/>
      <x:c r="O302" s="17"/>
      <x:c r="P302" s="17"/>
      <x:c r="Q302" s="17" t="str">
        <x:f>IF(COUNT(L302:P302)&lt;5,"",ROUND((L302*25+M302*20+N302*20+O302*20+P302*15)/5,1))</x:f>
      </x:c>
      <x:c r="R302" s="18" t="str">
        <x:v>Recommended first cleanup product: analyze user-accessible storage, preview every deletion, and require confirmation.</x:v>
      </x:c>
      <x:c r="S302" s="18" t="str"/>
      <x:c r="T302" s="17" t="str"/>
      <x:c r="U302" s="19"/>
    </x:row>
    <x:row r="303">
      <x:c r="A303" s="17" t="str">
        <x:v>MTS-0302</x:v>
      </x:c>
      <x:c r="B303" s="17" t="str">
        <x:v>Duplicate Photo Finder</x:v>
      </x:c>
      <x:c r="C303" s="17" t="str">
        <x:v>Device Cleanup and Maintenance</x:v>
      </x:c>
      <x:c r="D303" s="17" t="str">
        <x:v>Mobile + Desktop</x:v>
      </x:c>
      <x:c r="E303" s="17" t="str">
        <x:v>Phone and computer owners</x:v>
      </x:c>
      <x:c r="F303" s="18" t="str">
        <x:v>Duplicate Photo Finder provides a focused device cleanup and maintenance workflow for phone and computer owners.</x:v>
      </x:c>
      <x:c r="G303" s="18" t="str">
        <x:v>Storage Scan, Duplicates, Cleanup, Reports</x:v>
      </x:c>
      <x:c r="H303" s="17" t="str">
        <x:v>Freemium + Pro</x:v>
      </x:c>
      <x:c r="I303" s="17" t="str">
        <x:v>Medium</x:v>
      </x:c>
      <x:c r="J303" s="17" t="str">
        <x:v>New candidate</x:v>
      </x:c>
      <x:c r="K303" s="17" t="str">
        <x:v>Unreviewed</x:v>
      </x:c>
      <x:c r="L303" s="17"/>
      <x:c r="M303" s="17"/>
      <x:c r="N303" s="17"/>
      <x:c r="O303" s="17"/>
      <x:c r="P303" s="17"/>
      <x:c r="Q303" s="17" t="str">
        <x:f>IF(COUNT(L303:P303)&lt;5,"",ROUND((L303*25+M303*20+N303*20+O303*20+P303*15)/5,1))</x:f>
      </x:c>
      <x:c r="R303" s="18" t="str">
        <x:v>Feasible with media-library permission and perceptual hashing; use review-first deletion and recovery guidance.</x:v>
      </x:c>
      <x:c r="S303" s="18" t="str"/>
      <x:c r="T303" s="17" t="str"/>
      <x:c r="U303" s="19"/>
    </x:row>
    <x:row r="304">
      <x:c r="A304" s="17" t="str">
        <x:v>MTS-0303</x:v>
      </x:c>
      <x:c r="B304" s="17" t="str">
        <x:v>Large File Finder</x:v>
      </x:c>
      <x:c r="C304" s="17" t="str">
        <x:v>Device Cleanup and Maintenance</x:v>
      </x:c>
      <x:c r="D304" s="17" t="str">
        <x:v>Mobile + Desktop</x:v>
      </x:c>
      <x:c r="E304" s="17" t="str">
        <x:v>Phone and computer owners</x:v>
      </x:c>
      <x:c r="F304" s="18" t="str">
        <x:v>Large File Finder provides a focused device cleanup and maintenance workflow for phone and computer owners.</x:v>
      </x:c>
      <x:c r="G304" s="18" t="str">
        <x:v>Storage Scan, Duplicates, Cleanup, Reports</x:v>
      </x:c>
      <x:c r="H304" s="17" t="str">
        <x:v>Freemium + Pro</x:v>
      </x:c>
      <x:c r="I304" s="17" t="str">
        <x:v>Medium</x:v>
      </x:c>
      <x:c r="J304" s="17" t="str">
        <x:v>New candidate</x:v>
      </x:c>
      <x:c r="K304" s="17" t="str">
        <x:v>Unreviewed</x:v>
      </x:c>
      <x:c r="L304" s="17"/>
      <x:c r="M304" s="17"/>
      <x:c r="N304" s="17"/>
      <x:c r="O304" s="17"/>
      <x:c r="P304" s="17"/>
      <x:c r="Q304" s="17" t="str">
        <x:f>IF(COUNT(L304:P304)&lt;5,"",ROUND((L304*25+M304*20+N304*20+O304*20+P304*15)/5,1))</x:f>
      </x:c>
      <x:c r="R304" s="18" t="str">
        <x:v>Fast, valuable MVP within user-selected or platform-accessible storage.</x:v>
      </x:c>
      <x:c r="S304" s="18" t="str"/>
      <x:c r="T304" s="17" t="str"/>
      <x:c r="U304" s="19"/>
    </x:row>
    <x:row r="305">
      <x:c r="A305" s="17" t="str">
        <x:v>MTS-0304</x:v>
      </x:c>
      <x:c r="B305" s="17" t="str">
        <x:v>Screenshot Cleanup Assistant</x:v>
      </x:c>
      <x:c r="C305" s="17" t="str">
        <x:v>Device Cleanup and Maintenance</x:v>
      </x:c>
      <x:c r="D305" s="17" t="str">
        <x:v>Mobile + Desktop</x:v>
      </x:c>
      <x:c r="E305" s="17" t="str">
        <x:v>Phone and computer owners</x:v>
      </x:c>
      <x:c r="F305" s="18" t="str">
        <x:v>Screenshot Cleanup Assistant provides a focused device cleanup and maintenance workflow for phone and computer owners.</x:v>
      </x:c>
      <x:c r="G305" s="18" t="str">
        <x:v>Storage Scan, Duplicates, Cleanup, Reports</x:v>
      </x:c>
      <x:c r="H305" s="17" t="str">
        <x:v>Freemium + Pro</x:v>
      </x:c>
      <x:c r="I305" s="17" t="str">
        <x:v>Medium</x:v>
      </x:c>
      <x:c r="J305" s="17" t="str">
        <x:v>New candidate</x:v>
      </x:c>
      <x:c r="K305" s="17" t="str">
        <x:v>Unreviewed</x:v>
      </x:c>
      <x:c r="L305" s="17"/>
      <x:c r="M305" s="17"/>
      <x:c r="N305" s="17"/>
      <x:c r="O305" s="17"/>
      <x:c r="P305" s="17"/>
      <x:c r="Q305" s="17" t="str">
        <x:f>IF(COUNT(L305:P305)&lt;5,"",ROUND((L305*25+M305*20+N305*20+O305*20+P305*15)/5,1))</x:f>
      </x:c>
      <x:c r="R305" s="18" t="str">
        <x:v>Feasible media-library workflow with date, size, and visual review filters.</x:v>
      </x:c>
      <x:c r="S305" s="18" t="str"/>
      <x:c r="T305" s="17" t="str"/>
      <x:c r="U305" s="19"/>
    </x:row>
    <x:row r="306">
      <x:c r="A306" s="17" t="str">
        <x:v>MTS-0305</x:v>
      </x:c>
      <x:c r="B306" s="17" t="str">
        <x:v>Downloads Folder Organizer</x:v>
      </x:c>
      <x:c r="C306" s="17" t="str">
        <x:v>Device Cleanup and Maintenance</x:v>
      </x:c>
      <x:c r="D306" s="17" t="str">
        <x:v>Mobile + Desktop</x:v>
      </x:c>
      <x:c r="E306" s="17" t="str">
        <x:v>Phone and computer owners</x:v>
      </x:c>
      <x:c r="F306" s="18" t="str">
        <x:v>Downloads Folder Organizer provides a focused device cleanup and maintenance workflow for phone and computer owners.</x:v>
      </x:c>
      <x:c r="G306" s="18" t="str">
        <x:v>Storage Scan, Duplicates, Cleanup, Reports</x:v>
      </x:c>
      <x:c r="H306" s="17" t="str">
        <x:v>Freemium + Pro</x:v>
      </x:c>
      <x:c r="I306" s="17" t="str">
        <x:v>Medium</x:v>
      </x:c>
      <x:c r="J306" s="17" t="str">
        <x:v>New candidate</x:v>
      </x:c>
      <x:c r="K306" s="17" t="str">
        <x:v>Unreviewed</x:v>
      </x:c>
      <x:c r="L306" s="17"/>
      <x:c r="M306" s="17"/>
      <x:c r="N306" s="17"/>
      <x:c r="O306" s="17"/>
      <x:c r="P306" s="17"/>
      <x:c r="Q306" s="17" t="str">
        <x:f>IF(COUNT(L306:P306)&lt;5,"",ROUND((L306*25+M306*20+N306*20+O306*20+P306*15)/5,1))</x:f>
      </x:c>
      <x:c r="R306" s="18" t="str">
        <x:v>Strong on desktop and Android user-selected folders; iOS access is limited to document-picker locations.</x:v>
      </x:c>
      <x:c r="S306" s="18" t="str"/>
      <x:c r="T306" s="17" t="str"/>
      <x:c r="U306" s="19"/>
    </x:row>
    <x:row r="307">
      <x:c r="A307" s="17" t="str">
        <x:v>MTS-0306</x:v>
      </x:c>
      <x:c r="B307" s="17" t="str">
        <x:v>App Usage and Uninstall Planner</x:v>
      </x:c>
      <x:c r="C307" s="17" t="str">
        <x:v>Device Cleanup and Maintenance</x:v>
      </x:c>
      <x:c r="D307" s="17" t="str">
        <x:v>Mobile + Desktop</x:v>
      </x:c>
      <x:c r="E307" s="17" t="str">
        <x:v>Phone and computer owners</x:v>
      </x:c>
      <x:c r="F307" s="18" t="str">
        <x:v>App Usage and Uninstall Planner provides a focused device cleanup and maintenance workflow for phone and computer owners.</x:v>
      </x:c>
      <x:c r="G307" s="18" t="str">
        <x:v>Storage Scan, Duplicates, Cleanup, Reports</x:v>
      </x:c>
      <x:c r="H307" s="17" t="str">
        <x:v>Freemium + Pro</x:v>
      </x:c>
      <x:c r="I307" s="17" t="str">
        <x:v>Medium</x:v>
      </x:c>
      <x:c r="J307" s="17" t="str">
        <x:v>New candidate</x:v>
      </x:c>
      <x:c r="K307" s="17" t="str">
        <x:v>Unreviewed</x:v>
      </x:c>
      <x:c r="L307" s="17"/>
      <x:c r="M307" s="17"/>
      <x:c r="N307" s="17"/>
      <x:c r="O307" s="17"/>
      <x:c r="P307" s="17"/>
      <x:c r="Q307" s="17" t="str">
        <x:f>IF(COUNT(L307:P307)&lt;5,"",ROUND((L307*25+M307*20+N307*20+O307*20+P307*15)/5,1))</x:f>
      </x:c>
      <x:c r="R307" s="18" t="str">
        <x:v>Android can guide users with usage-access consent; iOS cannot provide equivalent full-device app usage data.</x:v>
      </x:c>
      <x:c r="S307" s="18" t="str"/>
      <x:c r="T307" s="17" t="str"/>
      <x:c r="U307" s="19"/>
    </x:row>
    <x:row r="308">
      <x:c r="A308" s="17" t="str">
        <x:v>MTS-0307</x:v>
      </x:c>
      <x:c r="B308" s="17" t="str">
        <x:v>Cache Cleanup Guide</x:v>
      </x:c>
      <x:c r="C308" s="17" t="str">
        <x:v>Device Cleanup and Maintenance</x:v>
      </x:c>
      <x:c r="D308" s="17" t="str">
        <x:v>Mobile + Desktop</x:v>
      </x:c>
      <x:c r="E308" s="17" t="str">
        <x:v>Phone and computer owners</x:v>
      </x:c>
      <x:c r="F308" s="18" t="str">
        <x:v>Cache Cleanup Guide provides a focused device cleanup and maintenance workflow for phone and computer owners.</x:v>
      </x:c>
      <x:c r="G308" s="18" t="str">
        <x:v>Storage Scan, Duplicates, Cleanup, Reports</x:v>
      </x:c>
      <x:c r="H308" s="17" t="str">
        <x:v>Freemium + Pro</x:v>
      </x:c>
      <x:c r="I308" s="17" t="str">
        <x:v>Medium</x:v>
      </x:c>
      <x:c r="J308" s="17" t="str">
        <x:v>New candidate</x:v>
      </x:c>
      <x:c r="K308" s="17" t="str">
        <x:v>Unreviewed</x:v>
      </x:c>
      <x:c r="L308" s="17"/>
      <x:c r="M308" s="17"/>
      <x:c r="N308" s="17"/>
      <x:c r="O308" s="17"/>
      <x:c r="P308" s="17"/>
      <x:c r="Q308" s="17" t="str">
        <x:f>IF(COUNT(L308:P308)&lt;5,"",ROUND((L308*25+M308*20+N308*20+O308*20+P308*15)/5,1))</x:f>
      </x:c>
      <x:c r="R308" s="18" t="str">
        <x:v>Guide users to system settings; mobile apps generally cannot silently clear other apps' caches.</x:v>
      </x:c>
      <x:c r="S308" s="18" t="str"/>
      <x:c r="T308" s="17" t="str"/>
      <x:c r="U308" s="19"/>
    </x:row>
    <x:row r="309">
      <x:c r="A309" s="17" t="str">
        <x:v>MTS-0308</x:v>
      </x:c>
      <x:c r="B309" s="17" t="str">
        <x:v>Duplicate Contact Cleaner</x:v>
      </x:c>
      <x:c r="C309" s="17" t="str">
        <x:v>Device Cleanup and Maintenance</x:v>
      </x:c>
      <x:c r="D309" s="17" t="str">
        <x:v>Mobile + Desktop</x:v>
      </x:c>
      <x:c r="E309" s="17" t="str">
        <x:v>Phone and computer owners</x:v>
      </x:c>
      <x:c r="F309" s="18" t="str">
        <x:v>Duplicate Contact Cleaner provides a focused device cleanup and maintenance workflow for phone and computer owners.</x:v>
      </x:c>
      <x:c r="G309" s="18" t="str">
        <x:v>Storage Scan, Duplicates, Cleanup, Reports</x:v>
      </x:c>
      <x:c r="H309" s="17" t="str">
        <x:v>Freemium + Pro</x:v>
      </x:c>
      <x:c r="I309" s="17" t="str">
        <x:v>Medium</x:v>
      </x:c>
      <x:c r="J309" s="17" t="str">
        <x:v>New candidate</x:v>
      </x:c>
      <x:c r="K309" s="17" t="str">
        <x:v>Unreviewed</x:v>
      </x:c>
      <x:c r="L309" s="17"/>
      <x:c r="M309" s="17"/>
      <x:c r="N309" s="17"/>
      <x:c r="O309" s="17"/>
      <x:c r="P309" s="17"/>
      <x:c r="Q309" s="17" t="str">
        <x:f>IF(COUNT(L309:P309)&lt;5,"",ROUND((L309*25+M309*20+N309*20+O309*20+P309*15)/5,1))</x:f>
      </x:c>
      <x:c r="R309" s="18" t="str">
        <x:v>Feasible but high trust and data-loss risk; require backup, merge preview, and reversible operations.</x:v>
      </x:c>
      <x:c r="S309" s="18" t="str"/>
      <x:c r="T309" s="17" t="str"/>
      <x:c r="U309" s="19"/>
    </x:row>
    <x:row r="310">
      <x:c r="A310" s="17" t="str">
        <x:v>MTS-0309</x:v>
      </x:c>
      <x:c r="B310" s="17" t="str">
        <x:v>Desktop Disk Cleanup Planner</x:v>
      </x:c>
      <x:c r="C310" s="17" t="str">
        <x:v>Device Cleanup and Maintenance</x:v>
      </x:c>
      <x:c r="D310" s="17" t="str">
        <x:v>Mobile + Desktop</x:v>
      </x:c>
      <x:c r="E310" s="17" t="str">
        <x:v>Phone and computer owners</x:v>
      </x:c>
      <x:c r="F310" s="18" t="str">
        <x:v>Desktop Disk Cleanup Planner provides a focused device cleanup and maintenance workflow for phone and computer owners.</x:v>
      </x:c>
      <x:c r="G310" s="18" t="str">
        <x:v>Storage Scan, Duplicates, Cleanup, Reports</x:v>
      </x:c>
      <x:c r="H310" s="17" t="str">
        <x:v>Freemium + Pro</x:v>
      </x:c>
      <x:c r="I310" s="17" t="str">
        <x:v>Medium</x:v>
      </x:c>
      <x:c r="J310" s="17" t="str">
        <x:v>New candidate</x:v>
      </x:c>
      <x:c r="K310" s="17" t="str">
        <x:v>Unreviewed</x:v>
      </x:c>
      <x:c r="L310" s="17"/>
      <x:c r="M310" s="17"/>
      <x:c r="N310" s="17"/>
      <x:c r="O310" s="17"/>
      <x:c r="P310" s="17"/>
      <x:c r="Q310" s="17" t="str">
        <x:f>IF(COUNT(L310:P310)&lt;5,"",ROUND((L310*25+M310*20+N310*20+O310*20+P310*15)/5,1))</x:f>
      </x:c>
      <x:c r="R310" s="18" t="str">
        <x:v>Strong desktop MVP using safe known locations, dry runs, allowlists, and restore records.</x:v>
      </x:c>
      <x:c r="S310" s="18" t="str"/>
      <x:c r="T310" s="17" t="str"/>
      <x:c r="U310" s="19"/>
    </x:row>
    <x:row r="311">
      <x:c r="A311" s="17" t="str">
        <x:v>MTS-0310</x:v>
      </x:c>
      <x:c r="B311" s="17" t="str">
        <x:v>Desktop Startup Manager</x:v>
      </x:c>
      <x:c r="C311" s="17" t="str">
        <x:v>Device Cleanup and Maintenance</x:v>
      </x:c>
      <x:c r="D311" s="17" t="str">
        <x:v>Mobile + Desktop</x:v>
      </x:c>
      <x:c r="E311" s="17" t="str">
        <x:v>Phone and computer owners</x:v>
      </x:c>
      <x:c r="F311" s="18" t="str">
        <x:v>Desktop Startup Manager provides a focused device cleanup and maintenance workflow for phone and computer owners.</x:v>
      </x:c>
      <x:c r="G311" s="18" t="str">
        <x:v>Storage Scan, Duplicates, Cleanup, Reports</x:v>
      </x:c>
      <x:c r="H311" s="17" t="str">
        <x:v>Freemium + Pro</x:v>
      </x:c>
      <x:c r="I311" s="17" t="str">
        <x:v>Medium</x:v>
      </x:c>
      <x:c r="J311" s="17" t="str">
        <x:v>New candidate</x:v>
      </x:c>
      <x:c r="K311" s="17" t="str">
        <x:v>Unreviewed</x:v>
      </x:c>
      <x:c r="L311" s="17"/>
      <x:c r="M311" s="17"/>
      <x:c r="N311" s="17"/>
      <x:c r="O311" s="17"/>
      <x:c r="P311" s="17"/>
      <x:c r="Q311" s="17" t="str">
        <x:f>IF(COUNT(L311:P311)&lt;5,"",ROUND((L311*25+M311*20+N311*20+O311*20+P311*15)/5,1))</x:f>
      </x:c>
      <x:c r="R311" s="18" t="str">
        <x:v>Useful desktop utility but needs platform-specific integrations, signing, and sometimes elevated privileges.</x:v>
      </x:c>
      <x:c r="S311" s="18" t="str"/>
      <x:c r="T311" s="17" t="str"/>
      <x:c r="U311" s="19"/>
    </x:row>
    <x:row r="312">
      <x:c r="A312" s="17" t="str">
        <x:v>MTS-0311</x:v>
      </x:c>
      <x:c r="B312" s="17" t="str">
        <x:v>Cross-Device File Deduplicator</x:v>
      </x:c>
      <x:c r="C312" s="17" t="str">
        <x:v>Device Cleanup and Maintenance</x:v>
      </x:c>
      <x:c r="D312" s="17" t="str">
        <x:v>Mobile + Desktop</x:v>
      </x:c>
      <x:c r="E312" s="17" t="str">
        <x:v>Phone and computer owners</x:v>
      </x:c>
      <x:c r="F312" s="18" t="str">
        <x:v>Cross-Device File Deduplicator provides a focused device cleanup and maintenance workflow for phone and computer owners.</x:v>
      </x:c>
      <x:c r="G312" s="18" t="str">
        <x:v>Storage Scan, Duplicates, Cleanup, Reports</x:v>
      </x:c>
      <x:c r="H312" s="17" t="str">
        <x:v>Freemium + Pro</x:v>
      </x:c>
      <x:c r="I312" s="17" t="str">
        <x:v>Medium</x:v>
      </x:c>
      <x:c r="J312" s="17" t="str">
        <x:v>New candidate</x:v>
      </x:c>
      <x:c r="K312" s="17" t="str">
        <x:v>Unreviewed</x:v>
      </x:c>
      <x:c r="L312" s="17"/>
      <x:c r="M312" s="17"/>
      <x:c r="N312" s="17"/>
      <x:c r="O312" s="17"/>
      <x:c r="P312" s="17"/>
      <x:c r="Q312" s="17" t="str">
        <x:f>IF(COUNT(L312:P312)&lt;5,"",ROUND((L312*25+M312*20+N312*20+O312*20+P312*15)/5,1))</x:f>
      </x:c>
      <x:c r="R312" s="18" t="str">
        <x:v>Large product due to filesystem access, hashing performance, sync conflicts, and recovery requirements.</x:v>
      </x:c>
      <x:c r="S312" s="18" t="str"/>
      <x:c r="T312" s="17" t="str"/>
      <x:c r="U312" s="19"/>
    </x:row>
    <x:row r="313">
      <x:c r="A313" s="17" t="str">
        <x:v>MTS-0312</x:v>
      </x:c>
      <x:c r="B313" s="17" t="str">
        <x:v>Device Maintenance Dashboard</x:v>
      </x:c>
      <x:c r="C313" s="17" t="str">
        <x:v>Device Cleanup and Maintenance</x:v>
      </x:c>
      <x:c r="D313" s="17" t="str">
        <x:v>Mobile + Desktop</x:v>
      </x:c>
      <x:c r="E313" s="17" t="str">
        <x:v>Phone and computer owners</x:v>
      </x:c>
      <x:c r="F313" s="18" t="str">
        <x:v>Device Maintenance Dashboard provides a focused device cleanup and maintenance workflow for phone and computer owners.</x:v>
      </x:c>
      <x:c r="G313" s="18" t="str">
        <x:v>Storage Scan, Duplicates, Cleanup, Reports</x:v>
      </x:c>
      <x:c r="H313" s="17" t="str">
        <x:v>Freemium + Pro</x:v>
      </x:c>
      <x:c r="I313" s="17" t="str">
        <x:v>Medium</x:v>
      </x:c>
      <x:c r="J313" s="17" t="str">
        <x:v>New candidate</x:v>
      </x:c>
      <x:c r="K313" s="17" t="str">
        <x:v>Unreviewed</x:v>
      </x:c>
      <x:c r="L313" s="17"/>
      <x:c r="M313" s="17"/>
      <x:c r="N313" s="17"/>
      <x:c r="O313" s="17"/>
      <x:c r="P313" s="17"/>
      <x:c r="Q313" s="17" t="str">
        <x:f>IF(COUNT(L313:P313)&lt;5,"",ROUND((L313*25+M313*20+N313*20+O313*20+P313*15)/5,1))</x:f>
      </x:c>
      <x:c r="R313" s="18" t="str">
        <x:v>Best as a suite shell after two or three focused cleanup utilities are proven.</x:v>
      </x:c>
      <x:c r="S313" s="18" t="str"/>
      <x:c r="T313" s="17" t="str"/>
      <x:c r="U313" s="19"/>
    </x:row>
    <x:row r="314">
      <x:c r="A314" s="17" t="str">
        <x:v>MTS-0313</x:v>
      </x:c>
      <x:c r="B314" s="17" t="str">
        <x:v>Photo Burst Cleaner</x:v>
      </x:c>
      <x:c r="C314" s="17" t="str">
        <x:v>Mobile Storage and Media Cleanup</x:v>
      </x:c>
      <x:c r="D314" s="17" t="str">
        <x:v>Mobile App</x:v>
      </x:c>
      <x:c r="E314" s="17" t="str">
        <x:v>Phone and tablet owners</x:v>
      </x:c>
      <x:c r="F314" s="18" t="str">
        <x:v>Photo Burst Cleaner provides a focused mobile storage and media cleanup workflow for phone and tablet owners.</x:v>
      </x:c>
      <x:c r="G314" s="18" t="str">
        <x:v>Media Scan, Storage Analysis, Cleanup Preview, Recovery</x:v>
      </x:c>
      <x:c r="H314" s="17" t="str">
        <x:v>Freemium + Pro</x:v>
      </x:c>
      <x:c r="I314" s="17" t="str">
        <x:v>Medium</x:v>
      </x:c>
      <x:c r="J314" s="17" t="str">
        <x:v>New candidate</x:v>
      </x:c>
      <x:c r="K314" s="17" t="str">
        <x:v>Unreviewed</x:v>
      </x:c>
      <x:c r="L314" s="17"/>
      <x:c r="M314" s="17"/>
      <x:c r="N314" s="17"/>
      <x:c r="O314" s="17"/>
      <x:c r="P314" s="17"/>
      <x:c r="Q314" s="17" t="str">
        <x:f>IF(COUNT(L314:P314)&lt;5,"",ROUND((L314*25+M314*20+N314*20+O314*20+P314*15)/5,1))</x:f>
      </x:c>
      <x:c r="R314" s="18" t="str"/>
      <x:c r="S314" s="18" t="str"/>
      <x:c r="T314" s="17" t="str"/>
      <x:c r="U314" s="19"/>
    </x:row>
    <x:row r="315">
      <x:c r="A315" s="17" t="str">
        <x:v>MTS-0314</x:v>
      </x:c>
      <x:c r="B315" s="17" t="str">
        <x:v>Blurry Photo Review</x:v>
      </x:c>
      <x:c r="C315" s="17" t="str">
        <x:v>Mobile Storage and Media Cleanup</x:v>
      </x:c>
      <x:c r="D315" s="17" t="str">
        <x:v>Mobile App</x:v>
      </x:c>
      <x:c r="E315" s="17" t="str">
        <x:v>Phone and tablet owners</x:v>
      </x:c>
      <x:c r="F315" s="18" t="str">
        <x:v>Blurry Photo Review provides a focused mobile storage and media cleanup workflow for phone and tablet owners.</x:v>
      </x:c>
      <x:c r="G315" s="18" t="str">
        <x:v>Media Scan, Storage Analysis, Cleanup Preview, Recovery</x:v>
      </x:c>
      <x:c r="H315" s="17" t="str">
        <x:v>Freemium + Pro</x:v>
      </x:c>
      <x:c r="I315" s="17" t="str">
        <x:v>Medium</x:v>
      </x:c>
      <x:c r="J315" s="17" t="str">
        <x:v>New candidate</x:v>
      </x:c>
      <x:c r="K315" s="17" t="str">
        <x:v>Unreviewed</x:v>
      </x:c>
      <x:c r="L315" s="17"/>
      <x:c r="M315" s="17"/>
      <x:c r="N315" s="17"/>
      <x:c r="O315" s="17"/>
      <x:c r="P315" s="17"/>
      <x:c r="Q315" s="17" t="str">
        <x:f>IF(COUNT(L315:P315)&lt;5,"",ROUND((L315*25+M315*20+N315*20+O315*20+P315*15)/5,1))</x:f>
      </x:c>
      <x:c r="R315" s="18" t="str"/>
      <x:c r="S315" s="18" t="str"/>
      <x:c r="T315" s="17" t="str"/>
      <x:c r="U315" s="19"/>
    </x:row>
    <x:row r="316">
      <x:c r="A316" s="17" t="str">
        <x:v>MTS-0315</x:v>
      </x:c>
      <x:c r="B316" s="17" t="str">
        <x:v>Video Space Reclaimer</x:v>
      </x:c>
      <x:c r="C316" s="17" t="str">
        <x:v>Mobile Storage and Media Cleanup</x:v>
      </x:c>
      <x:c r="D316" s="17" t="str">
        <x:v>Mobile App</x:v>
      </x:c>
      <x:c r="E316" s="17" t="str">
        <x:v>Phone and tablet owners</x:v>
      </x:c>
      <x:c r="F316" s="18" t="str">
        <x:v>Video Space Reclaimer provides a focused mobile storage and media cleanup workflow for phone and tablet owners.</x:v>
      </x:c>
      <x:c r="G316" s="18" t="str">
        <x:v>Media Scan, Storage Analysis, Cleanup Preview, Recovery</x:v>
      </x:c>
      <x:c r="H316" s="17" t="str">
        <x:v>Freemium + Pro</x:v>
      </x:c>
      <x:c r="I316" s="17" t="str">
        <x:v>Medium</x:v>
      </x:c>
      <x:c r="J316" s="17" t="str">
        <x:v>New candidate</x:v>
      </x:c>
      <x:c r="K316" s="17" t="str">
        <x:v>Unreviewed</x:v>
      </x:c>
      <x:c r="L316" s="17"/>
      <x:c r="M316" s="17"/>
      <x:c r="N316" s="17"/>
      <x:c r="O316" s="17"/>
      <x:c r="P316" s="17"/>
      <x:c r="Q316" s="17" t="str">
        <x:f>IF(COUNT(L316:P316)&lt;5,"",ROUND((L316*25+M316*20+N316*20+O316*20+P316*15)/5,1))</x:f>
      </x:c>
      <x:c r="R316" s="18" t="str"/>
      <x:c r="S316" s="18" t="str"/>
      <x:c r="T316" s="17" t="str"/>
      <x:c r="U316" s="19"/>
    </x:row>
    <x:row r="317">
      <x:c r="A317" s="17" t="str">
        <x:v>MTS-0316</x:v>
      </x:c>
      <x:c r="B317" s="17" t="str">
        <x:v>Offline Media Finder</x:v>
      </x:c>
      <x:c r="C317" s="17" t="str">
        <x:v>Mobile Storage and Media Cleanup</x:v>
      </x:c>
      <x:c r="D317" s="17" t="str">
        <x:v>Mobile App</x:v>
      </x:c>
      <x:c r="E317" s="17" t="str">
        <x:v>Phone and tablet owners</x:v>
      </x:c>
      <x:c r="F317" s="18" t="str">
        <x:v>Offline Media Finder provides a focused mobile storage and media cleanup workflow for phone and tablet owners.</x:v>
      </x:c>
      <x:c r="G317" s="18" t="str">
        <x:v>Media Scan, Storage Analysis, Cleanup Preview, Recovery</x:v>
      </x:c>
      <x:c r="H317" s="17" t="str">
        <x:v>Freemium + Pro</x:v>
      </x:c>
      <x:c r="I317" s="17" t="str">
        <x:v>Medium</x:v>
      </x:c>
      <x:c r="J317" s="17" t="str">
        <x:v>New candidate</x:v>
      </x:c>
      <x:c r="K317" s="17" t="str">
        <x:v>Unreviewed</x:v>
      </x:c>
      <x:c r="L317" s="17"/>
      <x:c r="M317" s="17"/>
      <x:c r="N317" s="17"/>
      <x:c r="O317" s="17"/>
      <x:c r="P317" s="17"/>
      <x:c r="Q317" s="17" t="str">
        <x:f>IF(COUNT(L317:P317)&lt;5,"",ROUND((L317*25+M317*20+N317*20+O317*20+P317*15)/5,1))</x:f>
      </x:c>
      <x:c r="R317" s="18" t="str"/>
      <x:c r="S317" s="18" t="str"/>
      <x:c r="T317" s="17" t="str"/>
      <x:c r="U317" s="19"/>
    </x:row>
    <x:row r="318">
      <x:c r="A318" s="17" t="str">
        <x:v>MTS-0317</x:v>
      </x:c>
      <x:c r="B318" s="17" t="str">
        <x:v>Old Screen Recording Cleaner</x:v>
      </x:c>
      <x:c r="C318" s="17" t="str">
        <x:v>Mobile Storage and Media Cleanup</x:v>
      </x:c>
      <x:c r="D318" s="17" t="str">
        <x:v>Mobile App</x:v>
      </x:c>
      <x:c r="E318" s="17" t="str">
        <x:v>Phone and tablet owners</x:v>
      </x:c>
      <x:c r="F318" s="18" t="str">
        <x:v>Old Screen Recording Cleaner provides a focused mobile storage and media cleanup workflow for phone and tablet owners.</x:v>
      </x:c>
      <x:c r="G318" s="18" t="str">
        <x:v>Media Scan, Storage Analysis, Cleanup Preview, Recovery</x:v>
      </x:c>
      <x:c r="H318" s="17" t="str">
        <x:v>Freemium + Pro</x:v>
      </x:c>
      <x:c r="I318" s="17" t="str">
        <x:v>Medium</x:v>
      </x:c>
      <x:c r="J318" s="17" t="str">
        <x:v>New candidate</x:v>
      </x:c>
      <x:c r="K318" s="17" t="str">
        <x:v>Unreviewed</x:v>
      </x:c>
      <x:c r="L318" s="17"/>
      <x:c r="M318" s="17"/>
      <x:c r="N318" s="17"/>
      <x:c r="O318" s="17"/>
      <x:c r="P318" s="17"/>
      <x:c r="Q318" s="17" t="str">
        <x:f>IF(COUNT(L318:P318)&lt;5,"",ROUND((L318*25+M318*20+N318*20+O318*20+P318*15)/5,1))</x:f>
      </x:c>
      <x:c r="R318" s="18" t="str"/>
      <x:c r="S318" s="18" t="str"/>
      <x:c r="T318" s="17" t="str"/>
      <x:c r="U318" s="19"/>
    </x:row>
    <x:row r="319">
      <x:c r="A319" s="17" t="str">
        <x:v>MTS-0318</x:v>
      </x:c>
      <x:c r="B319" s="17" t="str">
        <x:v>Messaging Media Organizer</x:v>
      </x:c>
      <x:c r="C319" s="17" t="str">
        <x:v>Mobile Storage and Media Cleanup</x:v>
      </x:c>
      <x:c r="D319" s="17" t="str">
        <x:v>Mobile App</x:v>
      </x:c>
      <x:c r="E319" s="17" t="str">
        <x:v>Phone and tablet owners</x:v>
      </x:c>
      <x:c r="F319" s="18" t="str">
        <x:v>Messaging Media Organizer provides a focused mobile storage and media cleanup workflow for phone and tablet owners.</x:v>
      </x:c>
      <x:c r="G319" s="18" t="str">
        <x:v>Media Scan, Storage Analysis, Cleanup Preview, Recovery</x:v>
      </x:c>
      <x:c r="H319" s="17" t="str">
        <x:v>Freemium + Pro</x:v>
      </x:c>
      <x:c r="I319" s="17" t="str">
        <x:v>Medium</x:v>
      </x:c>
      <x:c r="J319" s="17" t="str">
        <x:v>New candidate</x:v>
      </x:c>
      <x:c r="K319" s="17" t="str">
        <x:v>Unreviewed</x:v>
      </x:c>
      <x:c r="L319" s="17"/>
      <x:c r="M319" s="17"/>
      <x:c r="N319" s="17"/>
      <x:c r="O319" s="17"/>
      <x:c r="P319" s="17"/>
      <x:c r="Q319" s="17" t="str">
        <x:f>IF(COUNT(L319:P319)&lt;5,"",ROUND((L319*25+M319*20+N319*20+O319*20+P319*15)/5,1))</x:f>
      </x:c>
      <x:c r="R319" s="18" t="str"/>
      <x:c r="S319" s="18" t="str"/>
      <x:c r="T319" s="17" t="str"/>
      <x:c r="U319" s="19"/>
    </x:row>
    <x:row r="320">
      <x:c r="A320" s="17" t="str">
        <x:v>MTS-0319</x:v>
      </x:c>
      <x:c r="B320" s="17" t="str">
        <x:v>Downloaded Podcast Cleaner</x:v>
      </x:c>
      <x:c r="C320" s="17" t="str">
        <x:v>Mobile Storage and Media Cleanup</x:v>
      </x:c>
      <x:c r="D320" s="17" t="str">
        <x:v>Mobile App</x:v>
      </x:c>
      <x:c r="E320" s="17" t="str">
        <x:v>Phone and tablet owners</x:v>
      </x:c>
      <x:c r="F320" s="18" t="str">
        <x:v>Downloaded Podcast Cleaner provides a focused mobile storage and media cleanup workflow for phone and tablet owners.</x:v>
      </x:c>
      <x:c r="G320" s="18" t="str">
        <x:v>Media Scan, Storage Analysis, Cleanup Preview, Recovery</x:v>
      </x:c>
      <x:c r="H320" s="17" t="str">
        <x:v>Freemium + Pro</x:v>
      </x:c>
      <x:c r="I320" s="17" t="str">
        <x:v>Medium</x:v>
      </x:c>
      <x:c r="J320" s="17" t="str">
        <x:v>New candidate</x:v>
      </x:c>
      <x:c r="K320" s="17" t="str">
        <x:v>Unreviewed</x:v>
      </x:c>
      <x:c r="L320" s="17"/>
      <x:c r="M320" s="17"/>
      <x:c r="N320" s="17"/>
      <x:c r="O320" s="17"/>
      <x:c r="P320" s="17"/>
      <x:c r="Q320" s="17" t="str">
        <x:f>IF(COUNT(L320:P320)&lt;5,"",ROUND((L320*25+M320*20+N320*20+O320*20+P320*15)/5,1))</x:f>
      </x:c>
      <x:c r="R320" s="18" t="str"/>
      <x:c r="S320" s="18" t="str"/>
      <x:c r="T320" s="17" t="str"/>
      <x:c r="U320" s="19"/>
    </x:row>
    <x:row r="321">
      <x:c r="A321" s="17" t="str">
        <x:v>MTS-0320</x:v>
      </x:c>
      <x:c r="B321" s="17" t="str">
        <x:v>Offline Map Storage Monitor</x:v>
      </x:c>
      <x:c r="C321" s="17" t="str">
        <x:v>Mobile Storage and Media Cleanup</x:v>
      </x:c>
      <x:c r="D321" s="17" t="str">
        <x:v>Mobile App</x:v>
      </x:c>
      <x:c r="E321" s="17" t="str">
        <x:v>Phone and tablet owners</x:v>
      </x:c>
      <x:c r="F321" s="18" t="str">
        <x:v>Offline Map Storage Monitor provides a focused mobile storage and media cleanup workflow for phone and tablet owners.</x:v>
      </x:c>
      <x:c r="G321" s="18" t="str">
        <x:v>Media Scan, Storage Analysis, Cleanup Preview, Recovery</x:v>
      </x:c>
      <x:c r="H321" s="17" t="str">
        <x:v>Freemium + Pro</x:v>
      </x:c>
      <x:c r="I321" s="17" t="str">
        <x:v>Medium</x:v>
      </x:c>
      <x:c r="J321" s="17" t="str">
        <x:v>New candidate</x:v>
      </x:c>
      <x:c r="K321" s="17" t="str">
        <x:v>Unreviewed</x:v>
      </x:c>
      <x:c r="L321" s="17"/>
      <x:c r="M321" s="17"/>
      <x:c r="N321" s="17"/>
      <x:c r="O321" s="17"/>
      <x:c r="P321" s="17"/>
      <x:c r="Q321" s="17" t="str">
        <x:f>IF(COUNT(L321:P321)&lt;5,"",ROUND((L321*25+M321*20+N321*20+O321*20+P321*15)/5,1))</x:f>
      </x:c>
      <x:c r="R321" s="18" t="str"/>
      <x:c r="S321" s="18" t="str"/>
      <x:c r="T321" s="17" t="str"/>
      <x:c r="U321" s="19"/>
    </x:row>
    <x:row r="322">
      <x:c r="A322" s="17" t="str">
        <x:v>MTS-0321</x:v>
      </x:c>
      <x:c r="B322" s="17" t="str">
        <x:v>Camera RAW Cleanup</x:v>
      </x:c>
      <x:c r="C322" s="17" t="str">
        <x:v>Mobile Storage and Media Cleanup</x:v>
      </x:c>
      <x:c r="D322" s="17" t="str">
        <x:v>Mobile App</x:v>
      </x:c>
      <x:c r="E322" s="17" t="str">
        <x:v>Phone and tablet owners</x:v>
      </x:c>
      <x:c r="F322" s="18" t="str">
        <x:v>Camera RAW Cleanup provides a focused mobile storage and media cleanup workflow for phone and tablet owners.</x:v>
      </x:c>
      <x:c r="G322" s="18" t="str">
        <x:v>Media Scan, Storage Analysis, Cleanup Preview, Recovery</x:v>
      </x:c>
      <x:c r="H322" s="17" t="str">
        <x:v>Freemium + Pro</x:v>
      </x:c>
      <x:c r="I322" s="17" t="str">
        <x:v>Medium</x:v>
      </x:c>
      <x:c r="J322" s="17" t="str">
        <x:v>New candidate</x:v>
      </x:c>
      <x:c r="K322" s="17" t="str">
        <x:v>Unreviewed</x:v>
      </x:c>
      <x:c r="L322" s="17"/>
      <x:c r="M322" s="17"/>
      <x:c r="N322" s="17"/>
      <x:c r="O322" s="17"/>
      <x:c r="P322" s="17"/>
      <x:c r="Q322" s="17" t="str">
        <x:f>IF(COUNT(L322:P322)&lt;5,"",ROUND((L322*25+M322*20+N322*20+O322*20+P322*15)/5,1))</x:f>
      </x:c>
      <x:c r="R322" s="18" t="str"/>
      <x:c r="S322" s="18" t="str"/>
      <x:c r="T322" s="17" t="str"/>
      <x:c r="U322" s="19"/>
    </x:row>
    <x:row r="323">
      <x:c r="A323" s="17" t="str">
        <x:v>MTS-0322</x:v>
      </x:c>
      <x:c r="B323" s="17" t="str">
        <x:v>Meme and GIF Organizer</x:v>
      </x:c>
      <x:c r="C323" s="17" t="str">
        <x:v>Mobile Storage and Media Cleanup</x:v>
      </x:c>
      <x:c r="D323" s="17" t="str">
        <x:v>Mobile App</x:v>
      </x:c>
      <x:c r="E323" s="17" t="str">
        <x:v>Phone and tablet owners</x:v>
      </x:c>
      <x:c r="F323" s="18" t="str">
        <x:v>Meme and GIF Organizer provides a focused mobile storage and media cleanup workflow for phone and tablet owners.</x:v>
      </x:c>
      <x:c r="G323" s="18" t="str">
        <x:v>Media Scan, Storage Analysis, Cleanup Preview, Recovery</x:v>
      </x:c>
      <x:c r="H323" s="17" t="str">
        <x:v>Freemium + Pro</x:v>
      </x:c>
      <x:c r="I323" s="17" t="str">
        <x:v>Medium</x:v>
      </x:c>
      <x:c r="J323" s="17" t="str">
        <x:v>New candidate</x:v>
      </x:c>
      <x:c r="K323" s="17" t="str">
        <x:v>Unreviewed</x:v>
      </x:c>
      <x:c r="L323" s="17"/>
      <x:c r="M323" s="17"/>
      <x:c r="N323" s="17"/>
      <x:c r="O323" s="17"/>
      <x:c r="P323" s="17"/>
      <x:c r="Q323" s="17" t="str">
        <x:f>IF(COUNT(L323:P323)&lt;5,"",ROUND((L323*25+M323*20+N323*20+O323*20+P323*15)/5,1))</x:f>
      </x:c>
      <x:c r="R323" s="18" t="str"/>
      <x:c r="S323" s="18" t="str"/>
      <x:c r="T323" s="17" t="str"/>
      <x:c r="U323" s="19"/>
    </x:row>
    <x:row r="324">
      <x:c r="A324" s="17" t="str">
        <x:v>MTS-0323</x:v>
      </x:c>
      <x:c r="B324" s="17" t="str">
        <x:v>Social Media Save Cleaner</x:v>
      </x:c>
      <x:c r="C324" s="17" t="str">
        <x:v>Mobile Storage and Media Cleanup</x:v>
      </x:c>
      <x:c r="D324" s="17" t="str">
        <x:v>Mobile App</x:v>
      </x:c>
      <x:c r="E324" s="17" t="str">
        <x:v>Phone and tablet owners</x:v>
      </x:c>
      <x:c r="F324" s="18" t="str">
        <x:v>Social Media Save Cleaner provides a focused mobile storage and media cleanup workflow for phone and tablet owners.</x:v>
      </x:c>
      <x:c r="G324" s="18" t="str">
        <x:v>Media Scan, Storage Analysis, Cleanup Preview, Recovery</x:v>
      </x:c>
      <x:c r="H324" s="17" t="str">
        <x:v>Freemium + Pro</x:v>
      </x:c>
      <x:c r="I324" s="17" t="str">
        <x:v>Medium</x:v>
      </x:c>
      <x:c r="J324" s="17" t="str">
        <x:v>New candidate</x:v>
      </x:c>
      <x:c r="K324" s="17" t="str">
        <x:v>Unreviewed</x:v>
      </x:c>
      <x:c r="L324" s="17"/>
      <x:c r="M324" s="17"/>
      <x:c r="N324" s="17"/>
      <x:c r="O324" s="17"/>
      <x:c r="P324" s="17"/>
      <x:c r="Q324" s="17" t="str">
        <x:f>IF(COUNT(L324:P324)&lt;5,"",ROUND((L324*25+M324*20+N324*20+O324*20+P324*15)/5,1))</x:f>
      </x:c>
      <x:c r="R324" s="18" t="str"/>
      <x:c r="S324" s="18" t="str"/>
      <x:c r="T324" s="17" t="str"/>
      <x:c r="U324" s="19"/>
    </x:row>
    <x:row r="325">
      <x:c r="A325" s="17" t="str">
        <x:v>MTS-0324</x:v>
      </x:c>
      <x:c r="B325" s="17" t="str">
        <x:v>Mobile Storage Forecast</x:v>
      </x:c>
      <x:c r="C325" s="17" t="str">
        <x:v>Mobile Storage and Media Cleanup</x:v>
      </x:c>
      <x:c r="D325" s="17" t="str">
        <x:v>Mobile App</x:v>
      </x:c>
      <x:c r="E325" s="17" t="str">
        <x:v>Phone and tablet owners</x:v>
      </x:c>
      <x:c r="F325" s="18" t="str">
        <x:v>Mobile Storage Forecast provides a focused mobile storage and media cleanup workflow for phone and tablet owners.</x:v>
      </x:c>
      <x:c r="G325" s="18" t="str">
        <x:v>Media Scan, Storage Analysis, Cleanup Preview, Recovery</x:v>
      </x:c>
      <x:c r="H325" s="17" t="str">
        <x:v>Freemium + Pro</x:v>
      </x:c>
      <x:c r="I325" s="17" t="str">
        <x:v>Medium</x:v>
      </x:c>
      <x:c r="J325" s="17" t="str">
        <x:v>New candidate</x:v>
      </x:c>
      <x:c r="K325" s="17" t="str">
        <x:v>Unreviewed</x:v>
      </x:c>
      <x:c r="L325" s="17"/>
      <x:c r="M325" s="17"/>
      <x:c r="N325" s="17"/>
      <x:c r="O325" s="17"/>
      <x:c r="P325" s="17"/>
      <x:c r="Q325" s="17" t="str">
        <x:f>IF(COUNT(L325:P325)&lt;5,"",ROUND((L325*25+M325*20+N325*20+O325*20+P325*15)/5,1))</x:f>
      </x:c>
      <x:c r="R325" s="18" t="str"/>
      <x:c r="S325" s="18" t="str"/>
      <x:c r="T325" s="17" t="str"/>
      <x:c r="U325" s="19"/>
    </x:row>
    <x:row r="326">
      <x:c r="A326" s="17" t="str">
        <x:v>MTS-0325</x:v>
      </x:c>
      <x:c r="B326" s="17" t="str">
        <x:v>Temporary File Review</x:v>
      </x:c>
      <x:c r="C326" s="17" t="str">
        <x:v>Desktop Cleanup and Optimization</x:v>
      </x:c>
      <x:c r="D326" s="17" t="str">
        <x:v>Desktop App</x:v>
      </x:c>
      <x:c r="E326" s="17" t="str">
        <x:v>Windows and Mac users</x:v>
      </x:c>
      <x:c r="F326" s="18" t="str">
        <x:v>Temporary File Review provides a focused desktop cleanup and optimization workflow for windows and mac users.</x:v>
      </x:c>
      <x:c r="G326" s="18" t="str">
        <x:v>Disk Analysis, Cleanup Rules, Scheduling, Reports</x:v>
      </x:c>
      <x:c r="H326" s="17" t="str">
        <x:v>Freemium + Pro</x:v>
      </x:c>
      <x:c r="I326" s="17" t="str">
        <x:v>Medium</x:v>
      </x:c>
      <x:c r="J326" s="17" t="str">
        <x:v>New candidate</x:v>
      </x:c>
      <x:c r="K326" s="17" t="str">
        <x:v>Unreviewed</x:v>
      </x:c>
      <x:c r="L326" s="17"/>
      <x:c r="M326" s="17"/>
      <x:c r="N326" s="17"/>
      <x:c r="O326" s="17"/>
      <x:c r="P326" s="17"/>
      <x:c r="Q326" s="17" t="str">
        <x:f>IF(COUNT(L326:P326)&lt;5,"",ROUND((L326*25+M326*20+N326*20+O326*20+P326*15)/5,1))</x:f>
      </x:c>
      <x:c r="R326" s="18" t="str"/>
      <x:c r="S326" s="18" t="str"/>
      <x:c r="T326" s="17" t="str"/>
      <x:c r="U326" s="19"/>
    </x:row>
    <x:row r="327">
      <x:c r="A327" s="17" t="str">
        <x:v>MTS-0326</x:v>
      </x:c>
      <x:c r="B327" s="17" t="str">
        <x:v>Application Cache Inspector</x:v>
      </x:c>
      <x:c r="C327" s="17" t="str">
        <x:v>Desktop Cleanup and Optimization</x:v>
      </x:c>
      <x:c r="D327" s="17" t="str">
        <x:v>Desktop App</x:v>
      </x:c>
      <x:c r="E327" s="17" t="str">
        <x:v>Windows and Mac users</x:v>
      </x:c>
      <x:c r="F327" s="18" t="str">
        <x:v>Application Cache Inspector provides a focused desktop cleanup and optimization workflow for windows and mac users.</x:v>
      </x:c>
      <x:c r="G327" s="18" t="str">
        <x:v>Disk Analysis, Cleanup Rules, Scheduling, Reports</x:v>
      </x:c>
      <x:c r="H327" s="17" t="str">
        <x:v>Freemium + Pro</x:v>
      </x:c>
      <x:c r="I327" s="17" t="str">
        <x:v>Medium</x:v>
      </x:c>
      <x:c r="J327" s="17" t="str">
        <x:v>New candidate</x:v>
      </x:c>
      <x:c r="K327" s="17" t="str">
        <x:v>Unreviewed</x:v>
      </x:c>
      <x:c r="L327" s="17"/>
      <x:c r="M327" s="17"/>
      <x:c r="N327" s="17"/>
      <x:c r="O327" s="17"/>
      <x:c r="P327" s="17"/>
      <x:c r="Q327" s="17" t="str">
        <x:f>IF(COUNT(L327:P327)&lt;5,"",ROUND((L327*25+M327*20+N327*20+O327*20+P327*15)/5,1))</x:f>
      </x:c>
      <x:c r="R327" s="18" t="str"/>
      <x:c r="S327" s="18" t="str"/>
      <x:c r="T327" s="17" t="str"/>
      <x:c r="U327" s="19"/>
    </x:row>
    <x:row r="328">
      <x:c r="A328" s="17" t="str">
        <x:v>MTS-0327</x:v>
      </x:c>
      <x:c r="B328" s="17" t="str">
        <x:v>Browser Cache Manager</x:v>
      </x:c>
      <x:c r="C328" s="17" t="str">
        <x:v>Desktop Cleanup and Optimization</x:v>
      </x:c>
      <x:c r="D328" s="17" t="str">
        <x:v>Desktop App</x:v>
      </x:c>
      <x:c r="E328" s="17" t="str">
        <x:v>Windows and Mac users</x:v>
      </x:c>
      <x:c r="F328" s="18" t="str">
        <x:v>Browser Cache Manager provides a focused desktop cleanup and optimization workflow for windows and mac users.</x:v>
      </x:c>
      <x:c r="G328" s="18" t="str">
        <x:v>Disk Analysis, Cleanup Rules, Scheduling, Reports</x:v>
      </x:c>
      <x:c r="H328" s="17" t="str">
        <x:v>Freemium + Pro</x:v>
      </x:c>
      <x:c r="I328" s="17" t="str">
        <x:v>Medium</x:v>
      </x:c>
      <x:c r="J328" s="17" t="str">
        <x:v>New candidate</x:v>
      </x:c>
      <x:c r="K328" s="17" t="str">
        <x:v>Unreviewed</x:v>
      </x:c>
      <x:c r="L328" s="17"/>
      <x:c r="M328" s="17"/>
      <x:c r="N328" s="17"/>
      <x:c r="O328" s="17"/>
      <x:c r="P328" s="17"/>
      <x:c r="Q328" s="17" t="str">
        <x:f>IF(COUNT(L328:P328)&lt;5,"",ROUND((L328*25+M328*20+N328*20+O328*20+P328*15)/5,1))</x:f>
      </x:c>
      <x:c r="R328" s="18" t="str"/>
      <x:c r="S328" s="18" t="str"/>
      <x:c r="T328" s="17" t="str"/>
      <x:c r="U328" s="19"/>
    </x:row>
    <x:row r="329">
      <x:c r="A329" s="17" t="str">
        <x:v>MTS-0328</x:v>
      </x:c>
      <x:c r="B329" s="17" t="str">
        <x:v>Log File Cleanup Planner</x:v>
      </x:c>
      <x:c r="C329" s="17" t="str">
        <x:v>Desktop Cleanup and Optimization</x:v>
      </x:c>
      <x:c r="D329" s="17" t="str">
        <x:v>Desktop App</x:v>
      </x:c>
      <x:c r="E329" s="17" t="str">
        <x:v>Windows and Mac users</x:v>
      </x:c>
      <x:c r="F329" s="18" t="str">
        <x:v>Log File Cleanup Planner provides a focused desktop cleanup and optimization workflow for windows and mac users.</x:v>
      </x:c>
      <x:c r="G329" s="18" t="str">
        <x:v>Disk Analysis, Cleanup Rules, Scheduling, Reports</x:v>
      </x:c>
      <x:c r="H329" s="17" t="str">
        <x:v>Freemium + Pro</x:v>
      </x:c>
      <x:c r="I329" s="17" t="str">
        <x:v>Medium</x:v>
      </x:c>
      <x:c r="J329" s="17" t="str">
        <x:v>New candidate</x:v>
      </x:c>
      <x:c r="K329" s="17" t="str">
        <x:v>Unreviewed</x:v>
      </x:c>
      <x:c r="L329" s="17"/>
      <x:c r="M329" s="17"/>
      <x:c r="N329" s="17"/>
      <x:c r="O329" s="17"/>
      <x:c r="P329" s="17"/>
      <x:c r="Q329" s="17" t="str">
        <x:f>IF(COUNT(L329:P329)&lt;5,"",ROUND((L329*25+M329*20+N329*20+O329*20+P329*15)/5,1))</x:f>
      </x:c>
      <x:c r="R329" s="18" t="str"/>
      <x:c r="S329" s="18" t="str"/>
      <x:c r="T329" s="17" t="str"/>
      <x:c r="U329" s="19"/>
    </x:row>
    <x:row r="330">
      <x:c r="A330" s="17" t="str">
        <x:v>MTS-0329</x:v>
      </x:c>
      <x:c r="B330" s="17" t="str">
        <x:v>Old Installer Finder</x:v>
      </x:c>
      <x:c r="C330" s="17" t="str">
        <x:v>Desktop Cleanup and Optimization</x:v>
      </x:c>
      <x:c r="D330" s="17" t="str">
        <x:v>Desktop App</x:v>
      </x:c>
      <x:c r="E330" s="17" t="str">
        <x:v>Windows and Mac users</x:v>
      </x:c>
      <x:c r="F330" s="18" t="str">
        <x:v>Old Installer Finder provides a focused desktop cleanup and optimization workflow for windows and mac users.</x:v>
      </x:c>
      <x:c r="G330" s="18" t="str">
        <x:v>Disk Analysis, Cleanup Rules, Scheduling, Reports</x:v>
      </x:c>
      <x:c r="H330" s="17" t="str">
        <x:v>Freemium + Pro</x:v>
      </x:c>
      <x:c r="I330" s="17" t="str">
        <x:v>Medium</x:v>
      </x:c>
      <x:c r="J330" s="17" t="str">
        <x:v>New candidate</x:v>
      </x:c>
      <x:c r="K330" s="17" t="str">
        <x:v>Unreviewed</x:v>
      </x:c>
      <x:c r="L330" s="17"/>
      <x:c r="M330" s="17"/>
      <x:c r="N330" s="17"/>
      <x:c r="O330" s="17"/>
      <x:c r="P330" s="17"/>
      <x:c r="Q330" s="17" t="str">
        <x:f>IF(COUNT(L330:P330)&lt;5,"",ROUND((L330*25+M330*20+N330*20+O330*20+P330*15)/5,1))</x:f>
      </x:c>
      <x:c r="R330" s="18" t="str"/>
      <x:c r="S330" s="18" t="str"/>
      <x:c r="T330" s="17" t="str"/>
      <x:c r="U330" s="19"/>
    </x:row>
    <x:row r="331">
      <x:c r="A331" s="17" t="str">
        <x:v>MTS-0330</x:v>
      </x:c>
      <x:c r="B331" s="17" t="str">
        <x:v>Desktop Download Triage</x:v>
      </x:c>
      <x:c r="C331" s="17" t="str">
        <x:v>Desktop Cleanup and Optimization</x:v>
      </x:c>
      <x:c r="D331" s="17" t="str">
        <x:v>Desktop App</x:v>
      </x:c>
      <x:c r="E331" s="17" t="str">
        <x:v>Windows and Mac users</x:v>
      </x:c>
      <x:c r="F331" s="18" t="str">
        <x:v>Desktop Download Triage provides a focused desktop cleanup and optimization workflow for windows and mac users.</x:v>
      </x:c>
      <x:c r="G331" s="18" t="str">
        <x:v>Disk Analysis, Cleanup Rules, Scheduling, Reports</x:v>
      </x:c>
      <x:c r="H331" s="17" t="str">
        <x:v>Freemium + Pro</x:v>
      </x:c>
      <x:c r="I331" s="17" t="str">
        <x:v>Medium</x:v>
      </x:c>
      <x:c r="J331" s="17" t="str">
        <x:v>New candidate</x:v>
      </x:c>
      <x:c r="K331" s="17" t="str">
        <x:v>Unreviewed</x:v>
      </x:c>
      <x:c r="L331" s="17"/>
      <x:c r="M331" s="17"/>
      <x:c r="N331" s="17"/>
      <x:c r="O331" s="17"/>
      <x:c r="P331" s="17"/>
      <x:c r="Q331" s="17" t="str">
        <x:f>IF(COUNT(L331:P331)&lt;5,"",ROUND((L331*25+M331*20+N331*20+O331*20+P331*15)/5,1))</x:f>
      </x:c>
      <x:c r="R331" s="18" t="str"/>
      <x:c r="S331" s="18" t="str"/>
      <x:c r="T331" s="17" t="str"/>
      <x:c r="U331" s="19"/>
    </x:row>
    <x:row r="332">
      <x:c r="A332" s="17" t="str">
        <x:v>MTS-0331</x:v>
      </x:c>
      <x:c r="B332" s="17" t="str">
        <x:v>Unused Application Finder</x:v>
      </x:c>
      <x:c r="C332" s="17" t="str">
        <x:v>Desktop Cleanup and Optimization</x:v>
      </x:c>
      <x:c r="D332" s="17" t="str">
        <x:v>Desktop App</x:v>
      </x:c>
      <x:c r="E332" s="17" t="str">
        <x:v>Windows and Mac users</x:v>
      </x:c>
      <x:c r="F332" s="18" t="str">
        <x:v>Unused Application Finder provides a focused desktop cleanup and optimization workflow for windows and mac users.</x:v>
      </x:c>
      <x:c r="G332" s="18" t="str">
        <x:v>Disk Analysis, Cleanup Rules, Scheduling, Reports</x:v>
      </x:c>
      <x:c r="H332" s="17" t="str">
        <x:v>Freemium + Pro</x:v>
      </x:c>
      <x:c r="I332" s="17" t="str">
        <x:v>Medium</x:v>
      </x:c>
      <x:c r="J332" s="17" t="str">
        <x:v>New candidate</x:v>
      </x:c>
      <x:c r="K332" s="17" t="str">
        <x:v>Unreviewed</x:v>
      </x:c>
      <x:c r="L332" s="17"/>
      <x:c r="M332" s="17"/>
      <x:c r="N332" s="17"/>
      <x:c r="O332" s="17"/>
      <x:c r="P332" s="17"/>
      <x:c r="Q332" s="17" t="str">
        <x:f>IF(COUNT(L332:P332)&lt;5,"",ROUND((L332*25+M332*20+N332*20+O332*20+P332*15)/5,1))</x:f>
      </x:c>
      <x:c r="R332" s="18" t="str"/>
      <x:c r="S332" s="18" t="str"/>
      <x:c r="T332" s="17" t="str"/>
      <x:c r="U332" s="19"/>
    </x:row>
    <x:row r="333">
      <x:c r="A333" s="17" t="str">
        <x:v>MTS-0332</x:v>
      </x:c>
      <x:c r="B333" s="17" t="str">
        <x:v>Large Folder Visualizer</x:v>
      </x:c>
      <x:c r="C333" s="17" t="str">
        <x:v>Desktop Cleanup and Optimization</x:v>
      </x:c>
      <x:c r="D333" s="17" t="str">
        <x:v>Desktop App</x:v>
      </x:c>
      <x:c r="E333" s="17" t="str">
        <x:v>Windows and Mac users</x:v>
      </x:c>
      <x:c r="F333" s="18" t="str">
        <x:v>Large Folder Visualizer provides a focused desktop cleanup and optimization workflow for windows and mac users.</x:v>
      </x:c>
      <x:c r="G333" s="18" t="str">
        <x:v>Disk Analysis, Cleanup Rules, Scheduling, Reports</x:v>
      </x:c>
      <x:c r="H333" s="17" t="str">
        <x:v>Freemium + Pro</x:v>
      </x:c>
      <x:c r="I333" s="17" t="str">
        <x:v>Medium</x:v>
      </x:c>
      <x:c r="J333" s="17" t="str">
        <x:v>New candidate</x:v>
      </x:c>
      <x:c r="K333" s="17" t="str">
        <x:v>Unreviewed</x:v>
      </x:c>
      <x:c r="L333" s="17"/>
      <x:c r="M333" s="17"/>
      <x:c r="N333" s="17"/>
      <x:c r="O333" s="17"/>
      <x:c r="P333" s="17"/>
      <x:c r="Q333" s="17" t="str">
        <x:f>IF(COUNT(L333:P333)&lt;5,"",ROUND((L333*25+M333*20+N333*20+O333*20+P333*15)/5,1))</x:f>
      </x:c>
      <x:c r="R333" s="18" t="str"/>
      <x:c r="S333" s="18" t="str"/>
      <x:c r="T333" s="17" t="str"/>
      <x:c r="U333" s="19"/>
    </x:row>
    <x:row r="334">
      <x:c r="A334" s="17" t="str">
        <x:v>MTS-0333</x:v>
      </x:c>
      <x:c r="B334" s="17" t="str">
        <x:v>Disk Space Change Monitor</x:v>
      </x:c>
      <x:c r="C334" s="17" t="str">
        <x:v>Desktop Cleanup and Optimization</x:v>
      </x:c>
      <x:c r="D334" s="17" t="str">
        <x:v>Desktop App</x:v>
      </x:c>
      <x:c r="E334" s="17" t="str">
        <x:v>Windows and Mac users</x:v>
      </x:c>
      <x:c r="F334" s="18" t="str">
        <x:v>Disk Space Change Monitor provides a focused desktop cleanup and optimization workflow for windows and mac users.</x:v>
      </x:c>
      <x:c r="G334" s="18" t="str">
        <x:v>Disk Analysis, Cleanup Rules, Scheduling, Reports</x:v>
      </x:c>
      <x:c r="H334" s="17" t="str">
        <x:v>Freemium + Pro</x:v>
      </x:c>
      <x:c r="I334" s="17" t="str">
        <x:v>Medium</x:v>
      </x:c>
      <x:c r="J334" s="17" t="str">
        <x:v>New candidate</x:v>
      </x:c>
      <x:c r="K334" s="17" t="str">
        <x:v>Unreviewed</x:v>
      </x:c>
      <x:c r="L334" s="17"/>
      <x:c r="M334" s="17"/>
      <x:c r="N334" s="17"/>
      <x:c r="O334" s="17"/>
      <x:c r="P334" s="17"/>
      <x:c r="Q334" s="17" t="str">
        <x:f>IF(COUNT(L334:P334)&lt;5,"",ROUND((L334*25+M334*20+N334*20+O334*20+P334*15)/5,1))</x:f>
      </x:c>
      <x:c r="R334" s="18" t="str"/>
      <x:c r="S334" s="18" t="str"/>
      <x:c r="T334" s="17" t="str"/>
      <x:c r="U334" s="19"/>
    </x:row>
    <x:row r="335">
      <x:c r="A335" s="17" t="str">
        <x:v>MTS-0334</x:v>
      </x:c>
      <x:c r="B335" s="17" t="str">
        <x:v>Sleep File Advisor</x:v>
      </x:c>
      <x:c r="C335" s="17" t="str">
        <x:v>Desktop Cleanup and Optimization</x:v>
      </x:c>
      <x:c r="D335" s="17" t="str">
        <x:v>Desktop App</x:v>
      </x:c>
      <x:c r="E335" s="17" t="str">
        <x:v>Windows and Mac users</x:v>
      </x:c>
      <x:c r="F335" s="18" t="str">
        <x:v>Sleep File Advisor provides a focused desktop cleanup and optimization workflow for windows and mac users.</x:v>
      </x:c>
      <x:c r="G335" s="18" t="str">
        <x:v>Disk Analysis, Cleanup Rules, Scheduling, Reports</x:v>
      </x:c>
      <x:c r="H335" s="17" t="str">
        <x:v>Freemium + Pro</x:v>
      </x:c>
      <x:c r="I335" s="17" t="str">
        <x:v>Medium</x:v>
      </x:c>
      <x:c r="J335" s="17" t="str">
        <x:v>New candidate</x:v>
      </x:c>
      <x:c r="K335" s="17" t="str">
        <x:v>Unreviewed</x:v>
      </x:c>
      <x:c r="L335" s="17"/>
      <x:c r="M335" s="17"/>
      <x:c r="N335" s="17"/>
      <x:c r="O335" s="17"/>
      <x:c r="P335" s="17"/>
      <x:c r="Q335" s="17" t="str">
        <x:f>IF(COUNT(L335:P335)&lt;5,"",ROUND((L335*25+M335*20+N335*20+O335*20+P335*15)/5,1))</x:f>
      </x:c>
      <x:c r="R335" s="18" t="str"/>
      <x:c r="S335" s="18" t="str"/>
      <x:c r="T335" s="17" t="str"/>
      <x:c r="U335" s="19"/>
    </x:row>
    <x:row r="336">
      <x:c r="A336" s="17" t="str">
        <x:v>MTS-0335</x:v>
      </x:c>
      <x:c r="B336" s="17" t="str">
        <x:v>Recycle Bin Retention Manager</x:v>
      </x:c>
      <x:c r="C336" s="17" t="str">
        <x:v>Desktop Cleanup and Optimization</x:v>
      </x:c>
      <x:c r="D336" s="17" t="str">
        <x:v>Desktop App</x:v>
      </x:c>
      <x:c r="E336" s="17" t="str">
        <x:v>Windows and Mac users</x:v>
      </x:c>
      <x:c r="F336" s="18" t="str">
        <x:v>Recycle Bin Retention Manager provides a focused desktop cleanup and optimization workflow for windows and mac users.</x:v>
      </x:c>
      <x:c r="G336" s="18" t="str">
        <x:v>Disk Analysis, Cleanup Rules, Scheduling, Reports</x:v>
      </x:c>
      <x:c r="H336" s="17" t="str">
        <x:v>Freemium + Pro</x:v>
      </x:c>
      <x:c r="I336" s="17" t="str">
        <x:v>Medium</x:v>
      </x:c>
      <x:c r="J336" s="17" t="str">
        <x:v>New candidate</x:v>
      </x:c>
      <x:c r="K336" s="17" t="str">
        <x:v>Unreviewed</x:v>
      </x:c>
      <x:c r="L336" s="17"/>
      <x:c r="M336" s="17"/>
      <x:c r="N336" s="17"/>
      <x:c r="O336" s="17"/>
      <x:c r="P336" s="17"/>
      <x:c r="Q336" s="17" t="str">
        <x:f>IF(COUNT(L336:P336)&lt;5,"",ROUND((L336*25+M336*20+N336*20+O336*20+P336*15)/5,1))</x:f>
      </x:c>
      <x:c r="R336" s="18" t="str"/>
      <x:c r="S336" s="18" t="str"/>
      <x:c r="T336" s="17" t="str"/>
      <x:c r="U336" s="19"/>
    </x:row>
    <x:row r="337">
      <x:c r="A337" s="17" t="str">
        <x:v>MTS-0336</x:v>
      </x:c>
      <x:c r="B337" s="17" t="str">
        <x:v>Desktop Cleanup Scheduler</x:v>
      </x:c>
      <x:c r="C337" s="17" t="str">
        <x:v>Desktop Cleanup and Optimization</x:v>
      </x:c>
      <x:c r="D337" s="17" t="str">
        <x:v>Desktop App</x:v>
      </x:c>
      <x:c r="E337" s="17" t="str">
        <x:v>Windows and Mac users</x:v>
      </x:c>
      <x:c r="F337" s="18" t="str">
        <x:v>Desktop Cleanup Scheduler provides a focused desktop cleanup and optimization workflow for windows and mac users.</x:v>
      </x:c>
      <x:c r="G337" s="18" t="str">
        <x:v>Disk Analysis, Cleanup Rules, Scheduling, Reports</x:v>
      </x:c>
      <x:c r="H337" s="17" t="str">
        <x:v>Freemium + Pro</x:v>
      </x:c>
      <x:c r="I337" s="17" t="str">
        <x:v>Medium</x:v>
      </x:c>
      <x:c r="J337" s="17" t="str">
        <x:v>New candidate</x:v>
      </x:c>
      <x:c r="K337" s="17" t="str">
        <x:v>Unreviewed</x:v>
      </x:c>
      <x:c r="L337" s="17"/>
      <x:c r="M337" s="17"/>
      <x:c r="N337" s="17"/>
      <x:c r="O337" s="17"/>
      <x:c r="P337" s="17"/>
      <x:c r="Q337" s="17" t="str">
        <x:f>IF(COUNT(L337:P337)&lt;5,"",ROUND((L337*25+M337*20+N337*20+O337*20+P337*15)/5,1))</x:f>
      </x:c>
      <x:c r="R337" s="18" t="str"/>
      <x:c r="S337" s="18" t="str"/>
      <x:c r="T337" s="17" t="str"/>
      <x:c r="U337" s="19"/>
    </x:row>
    <x:row r="338">
      <x:c r="A338" s="17" t="str">
        <x:v>MTS-0337</x:v>
      </x:c>
      <x:c r="B338" s="17" t="str">
        <x:v>Exact File Duplicate Finder</x:v>
      </x:c>
      <x:c r="C338" s="17" t="str">
        <x:v>Duplicate File Intelligence</x:v>
      </x:c>
      <x:c r="D338" s="17" t="str">
        <x:v>Mobile + Desktop</x:v>
      </x:c>
      <x:c r="E338" s="17" t="str">
        <x:v>Consumers and small teams</x:v>
      </x:c>
      <x:c r="F338" s="18" t="str">
        <x:v>Exact File Duplicate Finder provides a focused duplicate file intelligence workflow for consumers and small teams.</x:v>
      </x:c>
      <x:c r="G338" s="18" t="str">
        <x:v>Hashing, Similarity, Review Queue, Quarantine</x:v>
      </x:c>
      <x:c r="H338" s="17" t="str">
        <x:v>Paid + Pro</x:v>
      </x:c>
      <x:c r="I338" s="17" t="str">
        <x:v>Large</x:v>
      </x:c>
      <x:c r="J338" s="17" t="str">
        <x:v>New candidate</x:v>
      </x:c>
      <x:c r="K338" s="17" t="str">
        <x:v>Unreviewed</x:v>
      </x:c>
      <x:c r="L338" s="17"/>
      <x:c r="M338" s="17"/>
      <x:c r="N338" s="17"/>
      <x:c r="O338" s="17"/>
      <x:c r="P338" s="17"/>
      <x:c r="Q338" s="17" t="str">
        <x:f>IF(COUNT(L338:P338)&lt;5,"",ROUND((L338*25+M338*20+N338*20+O338*20+P338*15)/5,1))</x:f>
      </x:c>
      <x:c r="R338" s="18" t="str"/>
      <x:c r="S338" s="18" t="str"/>
      <x:c r="T338" s="17" t="str"/>
      <x:c r="U338" s="19"/>
    </x:row>
    <x:row r="339">
      <x:c r="A339" s="17" t="str">
        <x:v>MTS-0338</x:v>
      </x:c>
      <x:c r="B339" s="17" t="str">
        <x:v>Similar Photo Grouping</x:v>
      </x:c>
      <x:c r="C339" s="17" t="str">
        <x:v>Duplicate File Intelligence</x:v>
      </x:c>
      <x:c r="D339" s="17" t="str">
        <x:v>Mobile + Desktop</x:v>
      </x:c>
      <x:c r="E339" s="17" t="str">
        <x:v>Consumers and small teams</x:v>
      </x:c>
      <x:c r="F339" s="18" t="str">
        <x:v>Similar Photo Grouping provides a focused duplicate file intelligence workflow for consumers and small teams.</x:v>
      </x:c>
      <x:c r="G339" s="18" t="str">
        <x:v>Hashing, Similarity, Review Queue, Quarantine</x:v>
      </x:c>
      <x:c r="H339" s="17" t="str">
        <x:v>Paid + Pro</x:v>
      </x:c>
      <x:c r="I339" s="17" t="str">
        <x:v>Large</x:v>
      </x:c>
      <x:c r="J339" s="17" t="str">
        <x:v>New candidate</x:v>
      </x:c>
      <x:c r="K339" s="17" t="str">
        <x:v>Unreviewed</x:v>
      </x:c>
      <x:c r="L339" s="17"/>
      <x:c r="M339" s="17"/>
      <x:c r="N339" s="17"/>
      <x:c r="O339" s="17"/>
      <x:c r="P339" s="17"/>
      <x:c r="Q339" s="17" t="str">
        <x:f>IF(COUNT(L339:P339)&lt;5,"",ROUND((L339*25+M339*20+N339*20+O339*20+P339*15)/5,1))</x:f>
      </x:c>
      <x:c r="R339" s="18" t="str"/>
      <x:c r="S339" s="18" t="str"/>
      <x:c r="T339" s="17" t="str"/>
      <x:c r="U339" s="19"/>
    </x:row>
    <x:row r="340">
      <x:c r="A340" s="17" t="str">
        <x:v>MTS-0339</x:v>
      </x:c>
      <x:c r="B340" s="17" t="str">
        <x:v>Duplicate Video Detector</x:v>
      </x:c>
      <x:c r="C340" s="17" t="str">
        <x:v>Duplicate File Intelligence</x:v>
      </x:c>
      <x:c r="D340" s="17" t="str">
        <x:v>Mobile + Desktop</x:v>
      </x:c>
      <x:c r="E340" s="17" t="str">
        <x:v>Consumers and small teams</x:v>
      </x:c>
      <x:c r="F340" s="18" t="str">
        <x:v>Duplicate Video Detector provides a focused duplicate file intelligence workflow for consumers and small teams.</x:v>
      </x:c>
      <x:c r="G340" s="18" t="str">
        <x:v>Hashing, Similarity, Review Queue, Quarantine</x:v>
      </x:c>
      <x:c r="H340" s="17" t="str">
        <x:v>Paid + Pro</x:v>
      </x:c>
      <x:c r="I340" s="17" t="str">
        <x:v>Large</x:v>
      </x:c>
      <x:c r="J340" s="17" t="str">
        <x:v>New candidate</x:v>
      </x:c>
      <x:c r="K340" s="17" t="str">
        <x:v>Unreviewed</x:v>
      </x:c>
      <x:c r="L340" s="17"/>
      <x:c r="M340" s="17"/>
      <x:c r="N340" s="17"/>
      <x:c r="O340" s="17"/>
      <x:c r="P340" s="17"/>
      <x:c r="Q340" s="17" t="str">
        <x:f>IF(COUNT(L340:P340)&lt;5,"",ROUND((L340*25+M340*20+N340*20+O340*20+P340*15)/5,1))</x:f>
      </x:c>
      <x:c r="R340" s="18" t="str"/>
      <x:c r="S340" s="18" t="str"/>
      <x:c r="T340" s="17" t="str"/>
      <x:c r="U340" s="19"/>
    </x:row>
    <x:row r="341">
      <x:c r="A341" s="17" t="str">
        <x:v>MTS-0340</x:v>
      </x:c>
      <x:c r="B341" s="17" t="str">
        <x:v>Duplicate Music Finder</x:v>
      </x:c>
      <x:c r="C341" s="17" t="str">
        <x:v>Duplicate File Intelligence</x:v>
      </x:c>
      <x:c r="D341" s="17" t="str">
        <x:v>Mobile + Desktop</x:v>
      </x:c>
      <x:c r="E341" s="17" t="str">
        <x:v>Consumers and small teams</x:v>
      </x:c>
      <x:c r="F341" s="18" t="str">
        <x:v>Duplicate Music Finder provides a focused duplicate file intelligence workflow for consumers and small teams.</x:v>
      </x:c>
      <x:c r="G341" s="18" t="str">
        <x:v>Hashing, Similarity, Review Queue, Quarantine</x:v>
      </x:c>
      <x:c r="H341" s="17" t="str">
        <x:v>Paid + Pro</x:v>
      </x:c>
      <x:c r="I341" s="17" t="str">
        <x:v>Large</x:v>
      </x:c>
      <x:c r="J341" s="17" t="str">
        <x:v>New candidate</x:v>
      </x:c>
      <x:c r="K341" s="17" t="str">
        <x:v>Unreviewed</x:v>
      </x:c>
      <x:c r="L341" s="17"/>
      <x:c r="M341" s="17"/>
      <x:c r="N341" s="17"/>
      <x:c r="O341" s="17"/>
      <x:c r="P341" s="17"/>
      <x:c r="Q341" s="17" t="str">
        <x:f>IF(COUNT(L341:P341)&lt;5,"",ROUND((L341*25+M341*20+N341*20+O341*20+P341*15)/5,1))</x:f>
      </x:c>
      <x:c r="R341" s="18" t="str"/>
      <x:c r="S341" s="18" t="str"/>
      <x:c r="T341" s="17" t="str"/>
      <x:c r="U341" s="19"/>
    </x:row>
    <x:row r="342">
      <x:c r="A342" s="17" t="str">
        <x:v>MTS-0341</x:v>
      </x:c>
      <x:c r="B342" s="17" t="str">
        <x:v>Duplicate Document Finder</x:v>
      </x:c>
      <x:c r="C342" s="17" t="str">
        <x:v>Duplicate File Intelligence</x:v>
      </x:c>
      <x:c r="D342" s="17" t="str">
        <x:v>Mobile + Desktop</x:v>
      </x:c>
      <x:c r="E342" s="17" t="str">
        <x:v>Consumers and small teams</x:v>
      </x:c>
      <x:c r="F342" s="18" t="str">
        <x:v>Duplicate Document Finder provides a focused duplicate file intelligence workflow for consumers and small teams.</x:v>
      </x:c>
      <x:c r="G342" s="18" t="str">
        <x:v>Hashing, Similarity, Review Queue, Quarantine</x:v>
      </x:c>
      <x:c r="H342" s="17" t="str">
        <x:v>Paid + Pro</x:v>
      </x:c>
      <x:c r="I342" s="17" t="str">
        <x:v>Large</x:v>
      </x:c>
      <x:c r="J342" s="17" t="str">
        <x:v>New candidate</x:v>
      </x:c>
      <x:c r="K342" s="17" t="str">
        <x:v>Unreviewed</x:v>
      </x:c>
      <x:c r="L342" s="17"/>
      <x:c r="M342" s="17"/>
      <x:c r="N342" s="17"/>
      <x:c r="O342" s="17"/>
      <x:c r="P342" s="17"/>
      <x:c r="Q342" s="17" t="str">
        <x:f>IF(COUNT(L342:P342)&lt;5,"",ROUND((L342*25+M342*20+N342*20+O342*20+P342*15)/5,1))</x:f>
      </x:c>
      <x:c r="R342" s="18" t="str"/>
      <x:c r="S342" s="18" t="str"/>
      <x:c r="T342" s="17" t="str"/>
      <x:c r="U342" s="19"/>
    </x:row>
    <x:row r="343">
      <x:c r="A343" s="17" t="str">
        <x:v>MTS-0342</x:v>
      </x:c>
      <x:c r="B343" s="17" t="str">
        <x:v>Folder Clone Detector</x:v>
      </x:c>
      <x:c r="C343" s="17" t="str">
        <x:v>Duplicate File Intelligence</x:v>
      </x:c>
      <x:c r="D343" s="17" t="str">
        <x:v>Mobile + Desktop</x:v>
      </x:c>
      <x:c r="E343" s="17" t="str">
        <x:v>Consumers and small teams</x:v>
      </x:c>
      <x:c r="F343" s="18" t="str">
        <x:v>Folder Clone Detector provides a focused duplicate file intelligence workflow for consumers and small teams.</x:v>
      </x:c>
      <x:c r="G343" s="18" t="str">
        <x:v>Hashing, Similarity, Review Queue, Quarantine</x:v>
      </x:c>
      <x:c r="H343" s="17" t="str">
        <x:v>Paid + Pro</x:v>
      </x:c>
      <x:c r="I343" s="17" t="str">
        <x:v>Large</x:v>
      </x:c>
      <x:c r="J343" s="17" t="str">
        <x:v>New candidate</x:v>
      </x:c>
      <x:c r="K343" s="17" t="str">
        <x:v>Unreviewed</x:v>
      </x:c>
      <x:c r="L343" s="17"/>
      <x:c r="M343" s="17"/>
      <x:c r="N343" s="17"/>
      <x:c r="O343" s="17"/>
      <x:c r="P343" s="17"/>
      <x:c r="Q343" s="17" t="str">
        <x:f>IF(COUNT(L343:P343)&lt;5,"",ROUND((L343*25+M343*20+N343*20+O343*20+P343*15)/5,1))</x:f>
      </x:c>
      <x:c r="R343" s="18" t="str"/>
      <x:c r="S343" s="18" t="str"/>
      <x:c r="T343" s="17" t="str"/>
      <x:c r="U343" s="19"/>
    </x:row>
    <x:row r="344">
      <x:c r="A344" s="17" t="str">
        <x:v>MTS-0343</x:v>
      </x:c>
      <x:c r="B344" s="17" t="str">
        <x:v>Renamed Duplicate Finder</x:v>
      </x:c>
      <x:c r="C344" s="17" t="str">
        <x:v>Duplicate File Intelligence</x:v>
      </x:c>
      <x:c r="D344" s="17" t="str">
        <x:v>Mobile + Desktop</x:v>
      </x:c>
      <x:c r="E344" s="17" t="str">
        <x:v>Consumers and small teams</x:v>
      </x:c>
      <x:c r="F344" s="18" t="str">
        <x:v>Renamed Duplicate Finder provides a focused duplicate file intelligence workflow for consumers and small teams.</x:v>
      </x:c>
      <x:c r="G344" s="18" t="str">
        <x:v>Hashing, Similarity, Review Queue, Quarantine</x:v>
      </x:c>
      <x:c r="H344" s="17" t="str">
        <x:v>Paid + Pro</x:v>
      </x:c>
      <x:c r="I344" s="17" t="str">
        <x:v>Large</x:v>
      </x:c>
      <x:c r="J344" s="17" t="str">
        <x:v>New candidate</x:v>
      </x:c>
      <x:c r="K344" s="17" t="str">
        <x:v>Unreviewed</x:v>
      </x:c>
      <x:c r="L344" s="17"/>
      <x:c r="M344" s="17"/>
      <x:c r="N344" s="17"/>
      <x:c r="O344" s="17"/>
      <x:c r="P344" s="17"/>
      <x:c r="Q344" s="17" t="str">
        <x:f>IF(COUNT(L344:P344)&lt;5,"",ROUND((L344*25+M344*20+N344*20+O344*20+P344*15)/5,1))</x:f>
      </x:c>
      <x:c r="R344" s="18" t="str"/>
      <x:c r="S344" s="18" t="str"/>
      <x:c r="T344" s="17" t="str"/>
      <x:c r="U344" s="19"/>
    </x:row>
    <x:row r="345">
      <x:c r="A345" s="17" t="str">
        <x:v>MTS-0344</x:v>
      </x:c>
      <x:c r="B345" s="17" t="str">
        <x:v>Cross-Drive Duplicate Scanner</x:v>
      </x:c>
      <x:c r="C345" s="17" t="str">
        <x:v>Duplicate File Intelligence</x:v>
      </x:c>
      <x:c r="D345" s="17" t="str">
        <x:v>Mobile + Desktop</x:v>
      </x:c>
      <x:c r="E345" s="17" t="str">
        <x:v>Consumers and small teams</x:v>
      </x:c>
      <x:c r="F345" s="18" t="str">
        <x:v>Cross-Drive Duplicate Scanner provides a focused duplicate file intelligence workflow for consumers and small teams.</x:v>
      </x:c>
      <x:c r="G345" s="18" t="str">
        <x:v>Hashing, Similarity, Review Queue, Quarantine</x:v>
      </x:c>
      <x:c r="H345" s="17" t="str">
        <x:v>Paid + Pro</x:v>
      </x:c>
      <x:c r="I345" s="17" t="str">
        <x:v>Large</x:v>
      </x:c>
      <x:c r="J345" s="17" t="str">
        <x:v>New candidate</x:v>
      </x:c>
      <x:c r="K345" s="17" t="str">
        <x:v>Unreviewed</x:v>
      </x:c>
      <x:c r="L345" s="17"/>
      <x:c r="M345" s="17"/>
      <x:c r="N345" s="17"/>
      <x:c r="O345" s="17"/>
      <x:c r="P345" s="17"/>
      <x:c r="Q345" s="17" t="str">
        <x:f>IF(COUNT(L345:P345)&lt;5,"",ROUND((L345*25+M345*20+N345*20+O345*20+P345*15)/5,1))</x:f>
      </x:c>
      <x:c r="R345" s="18" t="str"/>
      <x:c r="S345" s="18" t="str"/>
      <x:c r="T345" s="17" t="str"/>
      <x:c r="U345" s="19"/>
    </x:row>
    <x:row r="346">
      <x:c r="A346" s="17" t="str">
        <x:v>MTS-0345</x:v>
      </x:c>
      <x:c r="B346" s="17" t="str">
        <x:v>Cloud Sync Duplicate Finder</x:v>
      </x:c>
      <x:c r="C346" s="17" t="str">
        <x:v>Duplicate File Intelligence</x:v>
      </x:c>
      <x:c r="D346" s="17" t="str">
        <x:v>Mobile + Desktop</x:v>
      </x:c>
      <x:c r="E346" s="17" t="str">
        <x:v>Consumers and small teams</x:v>
      </x:c>
      <x:c r="F346" s="18" t="str">
        <x:v>Cloud Sync Duplicate Finder provides a focused duplicate file intelligence workflow for consumers and small teams.</x:v>
      </x:c>
      <x:c r="G346" s="18" t="str">
        <x:v>Hashing, Similarity, Review Queue, Quarantine</x:v>
      </x:c>
      <x:c r="H346" s="17" t="str">
        <x:v>Paid + Pro</x:v>
      </x:c>
      <x:c r="I346" s="17" t="str">
        <x:v>Large</x:v>
      </x:c>
      <x:c r="J346" s="17" t="str">
        <x:v>New candidate</x:v>
      </x:c>
      <x:c r="K346" s="17" t="str">
        <x:v>Unreviewed</x:v>
      </x:c>
      <x:c r="L346" s="17"/>
      <x:c r="M346" s="17"/>
      <x:c r="N346" s="17"/>
      <x:c r="O346" s="17"/>
      <x:c r="P346" s="17"/>
      <x:c r="Q346" s="17" t="str">
        <x:f>IF(COUNT(L346:P346)&lt;5,"",ROUND((L346*25+M346*20+N346*20+O346*20+P346*15)/5,1))</x:f>
      </x:c>
      <x:c r="R346" s="18" t="str"/>
      <x:c r="S346" s="18" t="str"/>
      <x:c r="T346" s="17" t="str"/>
      <x:c r="U346" s="19"/>
    </x:row>
    <x:row r="347">
      <x:c r="A347" s="17" t="str">
        <x:v>MTS-0346</x:v>
      </x:c>
      <x:c r="B347" s="17" t="str">
        <x:v>Duplicate Archive Finder</x:v>
      </x:c>
      <x:c r="C347" s="17" t="str">
        <x:v>Duplicate File Intelligence</x:v>
      </x:c>
      <x:c r="D347" s="17" t="str">
        <x:v>Mobile + Desktop</x:v>
      </x:c>
      <x:c r="E347" s="17" t="str">
        <x:v>Consumers and small teams</x:v>
      </x:c>
      <x:c r="F347" s="18" t="str">
        <x:v>Duplicate Archive Finder provides a focused duplicate file intelligence workflow for consumers and small teams.</x:v>
      </x:c>
      <x:c r="G347" s="18" t="str">
        <x:v>Hashing, Similarity, Review Queue, Quarantine</x:v>
      </x:c>
      <x:c r="H347" s="17" t="str">
        <x:v>Paid + Pro</x:v>
      </x:c>
      <x:c r="I347" s="17" t="str">
        <x:v>Large</x:v>
      </x:c>
      <x:c r="J347" s="17" t="str">
        <x:v>New candidate</x:v>
      </x:c>
      <x:c r="K347" s="17" t="str">
        <x:v>Unreviewed</x:v>
      </x:c>
      <x:c r="L347" s="17"/>
      <x:c r="M347" s="17"/>
      <x:c r="N347" s="17"/>
      <x:c r="O347" s="17"/>
      <x:c r="P347" s="17"/>
      <x:c r="Q347" s="17" t="str">
        <x:f>IF(COUNT(L347:P347)&lt;5,"",ROUND((L347*25+M347*20+N347*20+O347*20+P347*15)/5,1))</x:f>
      </x:c>
      <x:c r="R347" s="18" t="str"/>
      <x:c r="S347" s="18" t="str"/>
      <x:c r="T347" s="17" t="str"/>
      <x:c r="U347" s="19"/>
    </x:row>
    <x:row r="348">
      <x:c r="A348" s="17" t="str">
        <x:v>MTS-0347</x:v>
      </x:c>
      <x:c r="B348" s="17" t="str">
        <x:v>Duplicate Cleanup Report</x:v>
      </x:c>
      <x:c r="C348" s="17" t="str">
        <x:v>Duplicate File Intelligence</x:v>
      </x:c>
      <x:c r="D348" s="17" t="str">
        <x:v>Mobile + Desktop</x:v>
      </x:c>
      <x:c r="E348" s="17" t="str">
        <x:v>Consumers and small teams</x:v>
      </x:c>
      <x:c r="F348" s="18" t="str">
        <x:v>Duplicate Cleanup Report provides a focused duplicate file intelligence workflow for consumers and small teams.</x:v>
      </x:c>
      <x:c r="G348" s="18" t="str">
        <x:v>Hashing, Similarity, Review Queue, Quarantine</x:v>
      </x:c>
      <x:c r="H348" s="17" t="str">
        <x:v>Paid + Pro</x:v>
      </x:c>
      <x:c r="I348" s="17" t="str">
        <x:v>Large</x:v>
      </x:c>
      <x:c r="J348" s="17" t="str">
        <x:v>New candidate</x:v>
      </x:c>
      <x:c r="K348" s="17" t="str">
        <x:v>Unreviewed</x:v>
      </x:c>
      <x:c r="L348" s="17"/>
      <x:c r="M348" s="17"/>
      <x:c r="N348" s="17"/>
      <x:c r="O348" s="17"/>
      <x:c r="P348" s="17"/>
      <x:c r="Q348" s="17" t="str">
        <x:f>IF(COUNT(L348:P348)&lt;5,"",ROUND((L348*25+M348*20+N348*20+O348*20+P348*15)/5,1))</x:f>
      </x:c>
      <x:c r="R348" s="18" t="str"/>
      <x:c r="S348" s="18" t="str"/>
      <x:c r="T348" s="17" t="str"/>
      <x:c r="U348" s="19"/>
    </x:row>
    <x:row r="349">
      <x:c r="A349" s="17" t="str">
        <x:v>MTS-0348</x:v>
      </x:c>
      <x:c r="B349" s="17" t="str">
        <x:v>Safe Duplicate Quarantine</x:v>
      </x:c>
      <x:c r="C349" s="17" t="str">
        <x:v>Duplicate File Intelligence</x:v>
      </x:c>
      <x:c r="D349" s="17" t="str">
        <x:v>Mobile + Desktop</x:v>
      </x:c>
      <x:c r="E349" s="17" t="str">
        <x:v>Consumers and small teams</x:v>
      </x:c>
      <x:c r="F349" s="18" t="str">
        <x:v>Safe Duplicate Quarantine provides a focused duplicate file intelligence workflow for consumers and small teams.</x:v>
      </x:c>
      <x:c r="G349" s="18" t="str">
        <x:v>Hashing, Similarity, Review Queue, Quarantine</x:v>
      </x:c>
      <x:c r="H349" s="17" t="str">
        <x:v>Paid + Pro</x:v>
      </x:c>
      <x:c r="I349" s="17" t="str">
        <x:v>Large</x:v>
      </x:c>
      <x:c r="J349" s="17" t="str">
        <x:v>New candidate</x:v>
      </x:c>
      <x:c r="K349" s="17" t="str">
        <x:v>Unreviewed</x:v>
      </x:c>
      <x:c r="L349" s="17"/>
      <x:c r="M349" s="17"/>
      <x:c r="N349" s="17"/>
      <x:c r="O349" s="17"/>
      <x:c r="P349" s="17"/>
      <x:c r="Q349" s="17" t="str">
        <x:f>IF(COUNT(L349:P349)&lt;5,"",ROUND((L349*25+M349*20+N349*20+O349*20+P349*15)/5,1))</x:f>
      </x:c>
      <x:c r="R349" s="18" t="str"/>
      <x:c r="S349" s="18" t="str"/>
      <x:c r="T349" s="17" t="str"/>
      <x:c r="U349" s="19"/>
    </x:row>
    <x:row r="350">
      <x:c r="A350" s="17" t="str">
        <x:v>MTS-0349</x:v>
      </x:c>
      <x:c r="B350" s="17" t="str">
        <x:v>Installed App Inventory</x:v>
      </x:c>
      <x:c r="C350" s="17" t="str">
        <x:v>App and Software Management</x:v>
      </x:c>
      <x:c r="D350" s="17" t="str">
        <x:v>Mobile + Desktop</x:v>
      </x:c>
      <x:c r="E350" s="17" t="str">
        <x:v>Device owners and small teams</x:v>
      </x:c>
      <x:c r="F350" s="18" t="str">
        <x:v>Installed App Inventory provides a focused app and software management workflow for device owners and small teams.</x:v>
      </x:c>
      <x:c r="G350" s="18" t="str">
        <x:v>App Inventory, Usage, Updates, Permissions</x:v>
      </x:c>
      <x:c r="H350" s="17" t="str">
        <x:v>Freemium + Pro</x:v>
      </x:c>
      <x:c r="I350" s="17" t="str">
        <x:v>Medium</x:v>
      </x:c>
      <x:c r="J350" s="17" t="str">
        <x:v>New candidate</x:v>
      </x:c>
      <x:c r="K350" s="17" t="str">
        <x:v>Unreviewed</x:v>
      </x:c>
      <x:c r="L350" s="17"/>
      <x:c r="M350" s="17"/>
      <x:c r="N350" s="17"/>
      <x:c r="O350" s="17"/>
      <x:c r="P350" s="17"/>
      <x:c r="Q350" s="17" t="str">
        <x:f>IF(COUNT(L350:P350)&lt;5,"",ROUND((L350*25+M350*20+N350*20+O350*20+P350*15)/5,1))</x:f>
      </x:c>
      <x:c r="R350" s="18" t="str"/>
      <x:c r="S350" s="18" t="str"/>
      <x:c r="T350" s="17" t="str"/>
      <x:c r="U350" s="19"/>
    </x:row>
    <x:row r="351">
      <x:c r="A351" s="17" t="str">
        <x:v>MTS-0350</x:v>
      </x:c>
      <x:c r="B351" s="17" t="str">
        <x:v>App Size History</x:v>
      </x:c>
      <x:c r="C351" s="17" t="str">
        <x:v>App and Software Management</x:v>
      </x:c>
      <x:c r="D351" s="17" t="str">
        <x:v>Mobile + Desktop</x:v>
      </x:c>
      <x:c r="E351" s="17" t="str">
        <x:v>Device owners and small teams</x:v>
      </x:c>
      <x:c r="F351" s="18" t="str">
        <x:v>App Size History provides a focused app and software management workflow for device owners and small teams.</x:v>
      </x:c>
      <x:c r="G351" s="18" t="str">
        <x:v>App Inventory, Usage, Updates, Permissions</x:v>
      </x:c>
      <x:c r="H351" s="17" t="str">
        <x:v>Freemium + Pro</x:v>
      </x:c>
      <x:c r="I351" s="17" t="str">
        <x:v>Medium</x:v>
      </x:c>
      <x:c r="J351" s="17" t="str">
        <x:v>New candidate</x:v>
      </x:c>
      <x:c r="K351" s="17" t="str">
        <x:v>Unreviewed</x:v>
      </x:c>
      <x:c r="L351" s="17"/>
      <x:c r="M351" s="17"/>
      <x:c r="N351" s="17"/>
      <x:c r="O351" s="17"/>
      <x:c r="P351" s="17"/>
      <x:c r="Q351" s="17" t="str">
        <x:f>IF(COUNT(L351:P351)&lt;5,"",ROUND((L351*25+M351*20+N351*20+O351*20+P351*15)/5,1))</x:f>
      </x:c>
      <x:c r="R351" s="18" t="str"/>
      <x:c r="S351" s="18" t="str"/>
      <x:c r="T351" s="17" t="str"/>
      <x:c r="U351" s="19"/>
    </x:row>
    <x:row r="352">
      <x:c r="A352" s="17" t="str">
        <x:v>MTS-0351</x:v>
      </x:c>
      <x:c r="B352" s="17" t="str">
        <x:v>App Last Used Review</x:v>
      </x:c>
      <x:c r="C352" s="17" t="str">
        <x:v>App and Software Management</x:v>
      </x:c>
      <x:c r="D352" s="17" t="str">
        <x:v>Mobile + Desktop</x:v>
      </x:c>
      <x:c r="E352" s="17" t="str">
        <x:v>Device owners and small teams</x:v>
      </x:c>
      <x:c r="F352" s="18" t="str">
        <x:v>App Last Used Review provides a focused app and software management workflow for device owners and small teams.</x:v>
      </x:c>
      <x:c r="G352" s="18" t="str">
        <x:v>App Inventory, Usage, Updates, Permissions</x:v>
      </x:c>
      <x:c r="H352" s="17" t="str">
        <x:v>Freemium + Pro</x:v>
      </x:c>
      <x:c r="I352" s="17" t="str">
        <x:v>Medium</x:v>
      </x:c>
      <x:c r="J352" s="17" t="str">
        <x:v>New candidate</x:v>
      </x:c>
      <x:c r="K352" s="17" t="str">
        <x:v>Unreviewed</x:v>
      </x:c>
      <x:c r="L352" s="17"/>
      <x:c r="M352" s="17"/>
      <x:c r="N352" s="17"/>
      <x:c r="O352" s="17"/>
      <x:c r="P352" s="17"/>
      <x:c r="Q352" s="17" t="str">
        <x:f>IF(COUNT(L352:P352)&lt;5,"",ROUND((L352*25+M352*20+N352*20+O352*20+P352*15)/5,1))</x:f>
      </x:c>
      <x:c r="R352" s="18" t="str"/>
      <x:c r="S352" s="18" t="str"/>
      <x:c r="T352" s="17" t="str"/>
      <x:c r="U352" s="19"/>
    </x:row>
    <x:row r="353">
      <x:c r="A353" s="17" t="str">
        <x:v>MTS-0352</x:v>
      </x:c>
      <x:c r="B353" s="17" t="str">
        <x:v>Unused App Reminder</x:v>
      </x:c>
      <x:c r="C353" s="17" t="str">
        <x:v>App and Software Management</x:v>
      </x:c>
      <x:c r="D353" s="17" t="str">
        <x:v>Mobile + Desktop</x:v>
      </x:c>
      <x:c r="E353" s="17" t="str">
        <x:v>Device owners and small teams</x:v>
      </x:c>
      <x:c r="F353" s="18" t="str">
        <x:v>Unused App Reminder provides a focused app and software management workflow for device owners and small teams.</x:v>
      </x:c>
      <x:c r="G353" s="18" t="str">
        <x:v>App Inventory, Usage, Updates, Permissions</x:v>
      </x:c>
      <x:c r="H353" s="17" t="str">
        <x:v>Freemium + Pro</x:v>
      </x:c>
      <x:c r="I353" s="17" t="str">
        <x:v>Medium</x:v>
      </x:c>
      <x:c r="J353" s="17" t="str">
        <x:v>New candidate</x:v>
      </x:c>
      <x:c r="K353" s="17" t="str">
        <x:v>Unreviewed</x:v>
      </x:c>
      <x:c r="L353" s="17"/>
      <x:c r="M353" s="17"/>
      <x:c r="N353" s="17"/>
      <x:c r="O353" s="17"/>
      <x:c r="P353" s="17"/>
      <x:c r="Q353" s="17" t="str">
        <x:f>IF(COUNT(L353:P353)&lt;5,"",ROUND((L353*25+M353*20+N353*20+O353*20+P353*15)/5,1))</x:f>
      </x:c>
      <x:c r="R353" s="18" t="str"/>
      <x:c r="S353" s="18" t="str"/>
      <x:c r="T353" s="17" t="str"/>
      <x:c r="U353" s="19"/>
    </x:row>
    <x:row r="354">
      <x:c r="A354" s="17" t="str">
        <x:v>MTS-0353</x:v>
      </x:c>
      <x:c r="B354" s="17" t="str">
        <x:v>App Permission Change Monitor</x:v>
      </x:c>
      <x:c r="C354" s="17" t="str">
        <x:v>App and Software Management</x:v>
      </x:c>
      <x:c r="D354" s="17" t="str">
        <x:v>Mobile + Desktop</x:v>
      </x:c>
      <x:c r="E354" s="17" t="str">
        <x:v>Device owners and small teams</x:v>
      </x:c>
      <x:c r="F354" s="18" t="str">
        <x:v>App Permission Change Monitor provides a focused app and software management workflow for device owners and small teams.</x:v>
      </x:c>
      <x:c r="G354" s="18" t="str">
        <x:v>App Inventory, Usage, Updates, Permissions</x:v>
      </x:c>
      <x:c r="H354" s="17" t="str">
        <x:v>Freemium + Pro</x:v>
      </x:c>
      <x:c r="I354" s="17" t="str">
        <x:v>Medium</x:v>
      </x:c>
      <x:c r="J354" s="17" t="str">
        <x:v>New candidate</x:v>
      </x:c>
      <x:c r="K354" s="17" t="str">
        <x:v>Unreviewed</x:v>
      </x:c>
      <x:c r="L354" s="17"/>
      <x:c r="M354" s="17"/>
      <x:c r="N354" s="17"/>
      <x:c r="O354" s="17"/>
      <x:c r="P354" s="17"/>
      <x:c r="Q354" s="17" t="str">
        <x:f>IF(COUNT(L354:P354)&lt;5,"",ROUND((L354*25+M354*20+N354*20+O354*20+P354*15)/5,1))</x:f>
      </x:c>
      <x:c r="R354" s="18" t="str"/>
      <x:c r="S354" s="18" t="str"/>
      <x:c r="T354" s="17" t="str"/>
      <x:c r="U354" s="19"/>
    </x:row>
    <x:row r="355">
      <x:c r="A355" s="17" t="str">
        <x:v>MTS-0354</x:v>
      </x:c>
      <x:c r="B355" s="17" t="str">
        <x:v>Software License Organizer</x:v>
      </x:c>
      <x:c r="C355" s="17" t="str">
        <x:v>App and Software Management</x:v>
      </x:c>
      <x:c r="D355" s="17" t="str">
        <x:v>Mobile + Desktop</x:v>
      </x:c>
      <x:c r="E355" s="17" t="str">
        <x:v>Device owners and small teams</x:v>
      </x:c>
      <x:c r="F355" s="18" t="str">
        <x:v>Software License Organizer provides a focused app and software management workflow for device owners and small teams.</x:v>
      </x:c>
      <x:c r="G355" s="18" t="str">
        <x:v>App Inventory, Usage, Updates, Permissions</x:v>
      </x:c>
      <x:c r="H355" s="17" t="str">
        <x:v>Freemium + Pro</x:v>
      </x:c>
      <x:c r="I355" s="17" t="str">
        <x:v>Medium</x:v>
      </x:c>
      <x:c r="J355" s="17" t="str">
        <x:v>New candidate</x:v>
      </x:c>
      <x:c r="K355" s="17" t="str">
        <x:v>Unreviewed</x:v>
      </x:c>
      <x:c r="L355" s="17"/>
      <x:c r="M355" s="17"/>
      <x:c r="N355" s="17"/>
      <x:c r="O355" s="17"/>
      <x:c r="P355" s="17"/>
      <x:c r="Q355" s="17" t="str">
        <x:f>IF(COUNT(L355:P355)&lt;5,"",ROUND((L355*25+M355*20+N355*20+O355*20+P355*15)/5,1))</x:f>
      </x:c>
      <x:c r="R355" s="18" t="str"/>
      <x:c r="S355" s="18" t="str"/>
      <x:c r="T355" s="17" t="str"/>
      <x:c r="U355" s="19"/>
    </x:row>
    <x:row r="356">
      <x:c r="A356" s="17" t="str">
        <x:v>MTS-0355</x:v>
      </x:c>
      <x:c r="B356" s="17" t="str">
        <x:v>Application Update Dashboard</x:v>
      </x:c>
      <x:c r="C356" s="17" t="str">
        <x:v>App and Software Management</x:v>
      </x:c>
      <x:c r="D356" s="17" t="str">
        <x:v>Mobile + Desktop</x:v>
      </x:c>
      <x:c r="E356" s="17" t="str">
        <x:v>Device owners and small teams</x:v>
      </x:c>
      <x:c r="F356" s="18" t="str">
        <x:v>Application Update Dashboard provides a focused app and software management workflow for device owners and small teams.</x:v>
      </x:c>
      <x:c r="G356" s="18" t="str">
        <x:v>App Inventory, Usage, Updates, Permissions</x:v>
      </x:c>
      <x:c r="H356" s="17" t="str">
        <x:v>Freemium + Pro</x:v>
      </x:c>
      <x:c r="I356" s="17" t="str">
        <x:v>Medium</x:v>
      </x:c>
      <x:c r="J356" s="17" t="str">
        <x:v>New candidate</x:v>
      </x:c>
      <x:c r="K356" s="17" t="str">
        <x:v>Unreviewed</x:v>
      </x:c>
      <x:c r="L356" s="17"/>
      <x:c r="M356" s="17"/>
      <x:c r="N356" s="17"/>
      <x:c r="O356" s="17"/>
      <x:c r="P356" s="17"/>
      <x:c r="Q356" s="17" t="str">
        <x:f>IF(COUNT(L356:P356)&lt;5,"",ROUND((L356*25+M356*20+N356*20+O356*20+P356*15)/5,1))</x:f>
      </x:c>
      <x:c r="R356" s="18" t="str"/>
      <x:c r="S356" s="18" t="str"/>
      <x:c r="T356" s="17" t="str"/>
      <x:c r="U356" s="19"/>
    </x:row>
    <x:row r="357">
      <x:c r="A357" s="17" t="str">
        <x:v>MTS-0356</x:v>
      </x:c>
      <x:c r="B357" s="17" t="str">
        <x:v>Side-Loaded App Audit</x:v>
      </x:c>
      <x:c r="C357" s="17" t="str">
        <x:v>App and Software Management</x:v>
      </x:c>
      <x:c r="D357" s="17" t="str">
        <x:v>Mobile + Desktop</x:v>
      </x:c>
      <x:c r="E357" s="17" t="str">
        <x:v>Device owners and small teams</x:v>
      </x:c>
      <x:c r="F357" s="18" t="str">
        <x:v>Side-Loaded App Audit provides a focused app and software management workflow for device owners and small teams.</x:v>
      </x:c>
      <x:c r="G357" s="18" t="str">
        <x:v>App Inventory, Usage, Updates, Permissions</x:v>
      </x:c>
      <x:c r="H357" s="17" t="str">
        <x:v>Freemium + Pro</x:v>
      </x:c>
      <x:c r="I357" s="17" t="str">
        <x:v>Medium</x:v>
      </x:c>
      <x:c r="J357" s="17" t="str">
        <x:v>New candidate</x:v>
      </x:c>
      <x:c r="K357" s="17" t="str">
        <x:v>Unreviewed</x:v>
      </x:c>
      <x:c r="L357" s="17"/>
      <x:c r="M357" s="17"/>
      <x:c r="N357" s="17"/>
      <x:c r="O357" s="17"/>
      <x:c r="P357" s="17"/>
      <x:c r="Q357" s="17" t="str">
        <x:f>IF(COUNT(L357:P357)&lt;5,"",ROUND((L357*25+M357*20+N357*20+O357*20+P357*15)/5,1))</x:f>
      </x:c>
      <x:c r="R357" s="18" t="str"/>
      <x:c r="S357" s="18" t="str"/>
      <x:c r="T357" s="17" t="str"/>
      <x:c r="U357" s="19"/>
    </x:row>
    <x:row r="358">
      <x:c r="A358" s="17" t="str">
        <x:v>MTS-0357</x:v>
      </x:c>
      <x:c r="B358" s="17" t="str">
        <x:v>Default App Review</x:v>
      </x:c>
      <x:c r="C358" s="17" t="str">
        <x:v>App and Software Management</x:v>
      </x:c>
      <x:c r="D358" s="17" t="str">
        <x:v>Mobile + Desktop</x:v>
      </x:c>
      <x:c r="E358" s="17" t="str">
        <x:v>Device owners and small teams</x:v>
      </x:c>
      <x:c r="F358" s="18" t="str">
        <x:v>Default App Review provides a focused app and software management workflow for device owners and small teams.</x:v>
      </x:c>
      <x:c r="G358" s="18" t="str">
        <x:v>App Inventory, Usage, Updates, Permissions</x:v>
      </x:c>
      <x:c r="H358" s="17" t="str">
        <x:v>Freemium + Pro</x:v>
      </x:c>
      <x:c r="I358" s="17" t="str">
        <x:v>Medium</x:v>
      </x:c>
      <x:c r="J358" s="17" t="str">
        <x:v>New candidate</x:v>
      </x:c>
      <x:c r="K358" s="17" t="str">
        <x:v>Unreviewed</x:v>
      </x:c>
      <x:c r="L358" s="17"/>
      <x:c r="M358" s="17"/>
      <x:c r="N358" s="17"/>
      <x:c r="O358" s="17"/>
      <x:c r="P358" s="17"/>
      <x:c r="Q358" s="17" t="str">
        <x:f>IF(COUNT(L358:P358)&lt;5,"",ROUND((L358*25+M358*20+N358*20+O358*20+P358*15)/5,1))</x:f>
      </x:c>
      <x:c r="R358" s="18" t="str"/>
      <x:c r="S358" s="18" t="str"/>
      <x:c r="T358" s="17" t="str"/>
      <x:c r="U358" s="19"/>
    </x:row>
    <x:row r="359">
      <x:c r="A359" s="17" t="str">
        <x:v>MTS-0358</x:v>
      </x:c>
      <x:c r="B359" s="17" t="str">
        <x:v>Startup Application Audit</x:v>
      </x:c>
      <x:c r="C359" s="17" t="str">
        <x:v>App and Software Management</x:v>
      </x:c>
      <x:c r="D359" s="17" t="str">
        <x:v>Mobile + Desktop</x:v>
      </x:c>
      <x:c r="E359" s="17" t="str">
        <x:v>Device owners and small teams</x:v>
      </x:c>
      <x:c r="F359" s="18" t="str">
        <x:v>Startup Application Audit provides a focused app and software management workflow for device owners and small teams.</x:v>
      </x:c>
      <x:c r="G359" s="18" t="str">
        <x:v>App Inventory, Usage, Updates, Permissions</x:v>
      </x:c>
      <x:c r="H359" s="17" t="str">
        <x:v>Freemium + Pro</x:v>
      </x:c>
      <x:c r="I359" s="17" t="str">
        <x:v>Medium</x:v>
      </x:c>
      <x:c r="J359" s="17" t="str">
        <x:v>New candidate</x:v>
      </x:c>
      <x:c r="K359" s="17" t="str">
        <x:v>Unreviewed</x:v>
      </x:c>
      <x:c r="L359" s="17"/>
      <x:c r="M359" s="17"/>
      <x:c r="N359" s="17"/>
      <x:c r="O359" s="17"/>
      <x:c r="P359" s="17"/>
      <x:c r="Q359" s="17" t="str">
        <x:f>IF(COUNT(L359:P359)&lt;5,"",ROUND((L359*25+M359*20+N359*20+O359*20+P359*15)/5,1))</x:f>
      </x:c>
      <x:c r="R359" s="18" t="str"/>
      <x:c r="S359" s="18" t="str"/>
      <x:c r="T359" s="17" t="str"/>
      <x:c r="U359" s="19"/>
    </x:row>
    <x:row r="360">
      <x:c r="A360" s="17" t="str">
        <x:v>MTS-0359</x:v>
      </x:c>
      <x:c r="B360" s="17" t="str">
        <x:v>Software End-of-Life Tracker</x:v>
      </x:c>
      <x:c r="C360" s="17" t="str">
        <x:v>App and Software Management</x:v>
      </x:c>
      <x:c r="D360" s="17" t="str">
        <x:v>Mobile + Desktop</x:v>
      </x:c>
      <x:c r="E360" s="17" t="str">
        <x:v>Device owners and small teams</x:v>
      </x:c>
      <x:c r="F360" s="18" t="str">
        <x:v>Software End-of-Life Tracker provides a focused app and software management workflow for device owners and small teams.</x:v>
      </x:c>
      <x:c r="G360" s="18" t="str">
        <x:v>App Inventory, Usage, Updates, Permissions</x:v>
      </x:c>
      <x:c r="H360" s="17" t="str">
        <x:v>Freemium + Pro</x:v>
      </x:c>
      <x:c r="I360" s="17" t="str">
        <x:v>Medium</x:v>
      </x:c>
      <x:c r="J360" s="17" t="str">
        <x:v>New candidate</x:v>
      </x:c>
      <x:c r="K360" s="17" t="str">
        <x:v>Unreviewed</x:v>
      </x:c>
      <x:c r="L360" s="17"/>
      <x:c r="M360" s="17"/>
      <x:c r="N360" s="17"/>
      <x:c r="O360" s="17"/>
      <x:c r="P360" s="17"/>
      <x:c r="Q360" s="17" t="str">
        <x:f>IF(COUNT(L360:P360)&lt;5,"",ROUND((L360*25+M360*20+N360*20+O360*20+P360*15)/5,1))</x:f>
      </x:c>
      <x:c r="R360" s="18" t="str"/>
      <x:c r="S360" s="18" t="str"/>
      <x:c r="T360" s="17" t="str"/>
      <x:c r="U360" s="19"/>
    </x:row>
    <x:row r="361">
      <x:c r="A361" s="17" t="str">
        <x:v>MTS-0360</x:v>
      </x:c>
      <x:c r="B361" s="17" t="str">
        <x:v>Clean Uninstall Assistant</x:v>
      </x:c>
      <x:c r="C361" s="17" t="str">
        <x:v>App and Software Management</x:v>
      </x:c>
      <x:c r="D361" s="17" t="str">
        <x:v>Mobile + Desktop</x:v>
      </x:c>
      <x:c r="E361" s="17" t="str">
        <x:v>Device owners and small teams</x:v>
      </x:c>
      <x:c r="F361" s="18" t="str">
        <x:v>Clean Uninstall Assistant provides a focused app and software management workflow for device owners and small teams.</x:v>
      </x:c>
      <x:c r="G361" s="18" t="str">
        <x:v>App Inventory, Usage, Updates, Permissions</x:v>
      </x:c>
      <x:c r="H361" s="17" t="str">
        <x:v>Freemium + Pro</x:v>
      </x:c>
      <x:c r="I361" s="17" t="str">
        <x:v>Medium</x:v>
      </x:c>
      <x:c r="J361" s="17" t="str">
        <x:v>New candidate</x:v>
      </x:c>
      <x:c r="K361" s="17" t="str">
        <x:v>Unreviewed</x:v>
      </x:c>
      <x:c r="L361" s="17"/>
      <x:c r="M361" s="17"/>
      <x:c r="N361" s="17"/>
      <x:c r="O361" s="17"/>
      <x:c r="P361" s="17"/>
      <x:c r="Q361" s="17" t="str">
        <x:f>IF(COUNT(L361:P361)&lt;5,"",ROUND((L361*25+M361*20+N361*20+O361*20+P361*15)/5,1))</x:f>
      </x:c>
      <x:c r="R361" s="18" t="str"/>
      <x:c r="S361" s="18" t="str"/>
      <x:c r="T361" s="17" t="str"/>
      <x:c r="U361" s="19"/>
    </x:row>
    <x:row r="362">
      <x:c r="A362" s="17" t="str">
        <x:v>MTS-0361</x:v>
      </x:c>
      <x:c r="B362" s="17" t="str">
        <x:v>Tracker Exposure Dashboard</x:v>
      </x:c>
      <x:c r="C362" s="17" t="str">
        <x:v>Privacy and Tracking Protection</x:v>
      </x:c>
      <x:c r="D362" s="17" t="str">
        <x:v>Mobile + Desktop</x:v>
      </x:c>
      <x:c r="E362" s="17" t="str">
        <x:v>Privacy-conscious consumers</x:v>
      </x:c>
      <x:c r="F362" s="18" t="str">
        <x:v>Tracker Exposure Dashboard provides a focused privacy and tracking protection workflow for privacy-conscious consumers.</x:v>
      </x:c>
      <x:c r="G362" s="18" t="str">
        <x:v>Privacy Audit, Metadata, Permissions, Guidance</x:v>
      </x:c>
      <x:c r="H362" s="17" t="str">
        <x:v>Freemium + Pro</x:v>
      </x:c>
      <x:c r="I362" s="17" t="str">
        <x:v>Medium</x:v>
      </x:c>
      <x:c r="J362" s="17" t="str">
        <x:v>New candidate</x:v>
      </x:c>
      <x:c r="K362" s="17" t="str">
        <x:v>Unreviewed</x:v>
      </x:c>
      <x:c r="L362" s="17"/>
      <x:c r="M362" s="17"/>
      <x:c r="N362" s="17"/>
      <x:c r="O362" s="17"/>
      <x:c r="P362" s="17"/>
      <x:c r="Q362" s="17" t="str">
        <x:f>IF(COUNT(L362:P362)&lt;5,"",ROUND((L362*25+M362*20+N362*20+O362*20+P362*15)/5,1))</x:f>
      </x:c>
      <x:c r="R362" s="18" t="str"/>
      <x:c r="S362" s="18" t="str"/>
      <x:c r="T362" s="17" t="str"/>
      <x:c r="U362" s="19"/>
    </x:row>
    <x:row r="363">
      <x:c r="A363" s="17" t="str">
        <x:v>MTS-0362</x:v>
      </x:c>
      <x:c r="B363" s="17" t="str">
        <x:v>Advertising ID Reset Reminder</x:v>
      </x:c>
      <x:c r="C363" s="17" t="str">
        <x:v>Privacy and Tracking Protection</x:v>
      </x:c>
      <x:c r="D363" s="17" t="str">
        <x:v>Mobile + Desktop</x:v>
      </x:c>
      <x:c r="E363" s="17" t="str">
        <x:v>Privacy-conscious consumers</x:v>
      </x:c>
      <x:c r="F363" s="18" t="str">
        <x:v>Advertising ID Reset Reminder provides a focused privacy and tracking protection workflow for privacy-conscious consumers.</x:v>
      </x:c>
      <x:c r="G363" s="18" t="str">
        <x:v>Privacy Audit, Metadata, Permissions, Guidance</x:v>
      </x:c>
      <x:c r="H363" s="17" t="str">
        <x:v>Freemium + Pro</x:v>
      </x:c>
      <x:c r="I363" s="17" t="str">
        <x:v>Medium</x:v>
      </x:c>
      <x:c r="J363" s="17" t="str">
        <x:v>New candidate</x:v>
      </x:c>
      <x:c r="K363" s="17" t="str">
        <x:v>Unreviewed</x:v>
      </x:c>
      <x:c r="L363" s="17"/>
      <x:c r="M363" s="17"/>
      <x:c r="N363" s="17"/>
      <x:c r="O363" s="17"/>
      <x:c r="P363" s="17"/>
      <x:c r="Q363" s="17" t="str">
        <x:f>IF(COUNT(L363:P363)&lt;5,"",ROUND((L363*25+M363*20+N363*20+O363*20+P363*15)/5,1))</x:f>
      </x:c>
      <x:c r="R363" s="18" t="str"/>
      <x:c r="S363" s="18" t="str"/>
      <x:c r="T363" s="17" t="str"/>
      <x:c r="U363" s="19"/>
    </x:row>
    <x:row r="364">
      <x:c r="A364" s="17" t="str">
        <x:v>MTS-0363</x:v>
      </x:c>
      <x:c r="B364" s="17" t="str">
        <x:v>Location Access Review</x:v>
      </x:c>
      <x:c r="C364" s="17" t="str">
        <x:v>Privacy and Tracking Protection</x:v>
      </x:c>
      <x:c r="D364" s="17" t="str">
        <x:v>Mobile + Desktop</x:v>
      </x:c>
      <x:c r="E364" s="17" t="str">
        <x:v>Privacy-conscious consumers</x:v>
      </x:c>
      <x:c r="F364" s="18" t="str">
        <x:v>Location Access Review provides a focused privacy and tracking protection workflow for privacy-conscious consumers.</x:v>
      </x:c>
      <x:c r="G364" s="18" t="str">
        <x:v>Privacy Audit, Metadata, Permissions, Guidance</x:v>
      </x:c>
      <x:c r="H364" s="17" t="str">
        <x:v>Freemium + Pro</x:v>
      </x:c>
      <x:c r="I364" s="17" t="str">
        <x:v>Medium</x:v>
      </x:c>
      <x:c r="J364" s="17" t="str">
        <x:v>New candidate</x:v>
      </x:c>
      <x:c r="K364" s="17" t="str">
        <x:v>Unreviewed</x:v>
      </x:c>
      <x:c r="L364" s="17"/>
      <x:c r="M364" s="17"/>
      <x:c r="N364" s="17"/>
      <x:c r="O364" s="17"/>
      <x:c r="P364" s="17"/>
      <x:c r="Q364" s="17" t="str">
        <x:f>IF(COUNT(L364:P364)&lt;5,"",ROUND((L364*25+M364*20+N364*20+O364*20+P364*15)/5,1))</x:f>
      </x:c>
      <x:c r="R364" s="18" t="str"/>
      <x:c r="S364" s="18" t="str"/>
      <x:c r="T364" s="17" t="str"/>
      <x:c r="U364" s="19"/>
    </x:row>
    <x:row r="365">
      <x:c r="A365" s="17" t="str">
        <x:v>MTS-0364</x:v>
      </x:c>
      <x:c r="B365" s="17" t="str">
        <x:v>Microphone Camera Access Review</x:v>
      </x:c>
      <x:c r="C365" s="17" t="str">
        <x:v>Privacy and Tracking Protection</x:v>
      </x:c>
      <x:c r="D365" s="17" t="str">
        <x:v>Mobile + Desktop</x:v>
      </x:c>
      <x:c r="E365" s="17" t="str">
        <x:v>Privacy-conscious consumers</x:v>
      </x:c>
      <x:c r="F365" s="18" t="str">
        <x:v>Microphone Camera Access Review provides a focused privacy and tracking protection workflow for privacy-conscious consumers.</x:v>
      </x:c>
      <x:c r="G365" s="18" t="str">
        <x:v>Privacy Audit, Metadata, Permissions, Guidance</x:v>
      </x:c>
      <x:c r="H365" s="17" t="str">
        <x:v>Freemium + Pro</x:v>
      </x:c>
      <x:c r="I365" s="17" t="str">
        <x:v>Medium</x:v>
      </x:c>
      <x:c r="J365" s="17" t="str">
        <x:v>New candidate</x:v>
      </x:c>
      <x:c r="K365" s="17" t="str">
        <x:v>Unreviewed</x:v>
      </x:c>
      <x:c r="L365" s="17"/>
      <x:c r="M365" s="17"/>
      <x:c r="N365" s="17"/>
      <x:c r="O365" s="17"/>
      <x:c r="P365" s="17"/>
      <x:c r="Q365" s="17" t="str">
        <x:f>IF(COUNT(L365:P365)&lt;5,"",ROUND((L365*25+M365*20+N365*20+O365*20+P365*15)/5,1))</x:f>
      </x:c>
      <x:c r="R365" s="18" t="str"/>
      <x:c r="S365" s="18" t="str"/>
      <x:c r="T365" s="17" t="str"/>
      <x:c r="U365" s="19"/>
    </x:row>
    <x:row r="366">
      <x:c r="A366" s="17" t="str">
        <x:v>MTS-0365</x:v>
      </x:c>
      <x:c r="B366" s="17" t="str">
        <x:v>Clipboard Privacy Audit</x:v>
      </x:c>
      <x:c r="C366" s="17" t="str">
        <x:v>Privacy and Tracking Protection</x:v>
      </x:c>
      <x:c r="D366" s="17" t="str">
        <x:v>Mobile + Desktop</x:v>
      </x:c>
      <x:c r="E366" s="17" t="str">
        <x:v>Privacy-conscious consumers</x:v>
      </x:c>
      <x:c r="F366" s="18" t="str">
        <x:v>Clipboard Privacy Audit provides a focused privacy and tracking protection workflow for privacy-conscious consumers.</x:v>
      </x:c>
      <x:c r="G366" s="18" t="str">
        <x:v>Privacy Audit, Metadata, Permissions, Guidance</x:v>
      </x:c>
      <x:c r="H366" s="17" t="str">
        <x:v>Freemium + Pro</x:v>
      </x:c>
      <x:c r="I366" s="17" t="str">
        <x:v>Medium</x:v>
      </x:c>
      <x:c r="J366" s="17" t="str">
        <x:v>New candidate</x:v>
      </x:c>
      <x:c r="K366" s="17" t="str">
        <x:v>Unreviewed</x:v>
      </x:c>
      <x:c r="L366" s="17"/>
      <x:c r="M366" s="17"/>
      <x:c r="N366" s="17"/>
      <x:c r="O366" s="17"/>
      <x:c r="P366" s="17"/>
      <x:c r="Q366" s="17" t="str">
        <x:f>IF(COUNT(L366:P366)&lt;5,"",ROUND((L366*25+M366*20+N366*20+O366*20+P366*15)/5,1))</x:f>
      </x:c>
      <x:c r="R366" s="18" t="str"/>
      <x:c r="S366" s="18" t="str"/>
      <x:c r="T366" s="17" t="str"/>
      <x:c r="U366" s="19"/>
    </x:row>
    <x:row r="367">
      <x:c r="A367" s="17" t="str">
        <x:v>MTS-0366</x:v>
      </x:c>
      <x:c r="B367" s="17" t="str">
        <x:v>Notification Privacy Coach</x:v>
      </x:c>
      <x:c r="C367" s="17" t="str">
        <x:v>Privacy and Tracking Protection</x:v>
      </x:c>
      <x:c r="D367" s="17" t="str">
        <x:v>Mobile + Desktop</x:v>
      </x:c>
      <x:c r="E367" s="17" t="str">
        <x:v>Privacy-conscious consumers</x:v>
      </x:c>
      <x:c r="F367" s="18" t="str">
        <x:v>Notification Privacy Coach provides a focused privacy and tracking protection workflow for privacy-conscious consumers.</x:v>
      </x:c>
      <x:c r="G367" s="18" t="str">
        <x:v>Privacy Audit, Metadata, Permissions, Guidance</x:v>
      </x:c>
      <x:c r="H367" s="17" t="str">
        <x:v>Freemium + Pro</x:v>
      </x:c>
      <x:c r="I367" s="17" t="str">
        <x:v>Medium</x:v>
      </x:c>
      <x:c r="J367" s="17" t="str">
        <x:v>New candidate</x:v>
      </x:c>
      <x:c r="K367" s="17" t="str">
        <x:v>Unreviewed</x:v>
      </x:c>
      <x:c r="L367" s="17"/>
      <x:c r="M367" s="17"/>
      <x:c r="N367" s="17"/>
      <x:c r="O367" s="17"/>
      <x:c r="P367" s="17"/>
      <x:c r="Q367" s="17" t="str">
        <x:f>IF(COUNT(L367:P367)&lt;5,"",ROUND((L367*25+M367*20+N367*20+O367*20+P367*15)/5,1))</x:f>
      </x:c>
      <x:c r="R367" s="18" t="str"/>
      <x:c r="S367" s="18" t="str"/>
      <x:c r="T367" s="17" t="str"/>
      <x:c r="U367" s="19"/>
    </x:row>
    <x:row r="368">
      <x:c r="A368" s="17" t="str">
        <x:v>MTS-0367</x:v>
      </x:c>
      <x:c r="B368" s="17" t="str">
        <x:v>Lock Screen Privacy Check</x:v>
      </x:c>
      <x:c r="C368" s="17" t="str">
        <x:v>Privacy and Tracking Protection</x:v>
      </x:c>
      <x:c r="D368" s="17" t="str">
        <x:v>Mobile + Desktop</x:v>
      </x:c>
      <x:c r="E368" s="17" t="str">
        <x:v>Privacy-conscious consumers</x:v>
      </x:c>
      <x:c r="F368" s="18" t="str">
        <x:v>Lock Screen Privacy Check provides a focused privacy and tracking protection workflow for privacy-conscious consumers.</x:v>
      </x:c>
      <x:c r="G368" s="18" t="str">
        <x:v>Privacy Audit, Metadata, Permissions, Guidance</x:v>
      </x:c>
      <x:c r="H368" s="17" t="str">
        <x:v>Freemium + Pro</x:v>
      </x:c>
      <x:c r="I368" s="17" t="str">
        <x:v>Medium</x:v>
      </x:c>
      <x:c r="J368" s="17" t="str">
        <x:v>New candidate</x:v>
      </x:c>
      <x:c r="K368" s="17" t="str">
        <x:v>Unreviewed</x:v>
      </x:c>
      <x:c r="L368" s="17"/>
      <x:c r="M368" s="17"/>
      <x:c r="N368" s="17"/>
      <x:c r="O368" s="17"/>
      <x:c r="P368" s="17"/>
      <x:c r="Q368" s="17" t="str">
        <x:f>IF(COUNT(L368:P368)&lt;5,"",ROUND((L368*25+M368*20+N368*20+O368*20+P368*15)/5,1))</x:f>
      </x:c>
      <x:c r="R368" s="18" t="str"/>
      <x:c r="S368" s="18" t="str"/>
      <x:c r="T368" s="17" t="str"/>
      <x:c r="U368" s="19"/>
    </x:row>
    <x:row r="369">
      <x:c r="A369" s="17" t="str">
        <x:v>MTS-0368</x:v>
      </x:c>
      <x:c r="B369" s="17" t="str">
        <x:v>Metadata Removal Tool</x:v>
      </x:c>
      <x:c r="C369" s="17" t="str">
        <x:v>Privacy and Tracking Protection</x:v>
      </x:c>
      <x:c r="D369" s="17" t="str">
        <x:v>Mobile + Desktop</x:v>
      </x:c>
      <x:c r="E369" s="17" t="str">
        <x:v>Privacy-conscious consumers</x:v>
      </x:c>
      <x:c r="F369" s="18" t="str">
        <x:v>Metadata Removal Tool provides a focused privacy and tracking protection workflow for privacy-conscious consumers.</x:v>
      </x:c>
      <x:c r="G369" s="18" t="str">
        <x:v>Privacy Audit, Metadata, Permissions, Guidance</x:v>
      </x:c>
      <x:c r="H369" s="17" t="str">
        <x:v>Freemium + Pro</x:v>
      </x:c>
      <x:c r="I369" s="17" t="str">
        <x:v>Medium</x:v>
      </x:c>
      <x:c r="J369" s="17" t="str">
        <x:v>New candidate</x:v>
      </x:c>
      <x:c r="K369" s="17" t="str">
        <x:v>Unreviewed</x:v>
      </x:c>
      <x:c r="L369" s="17"/>
      <x:c r="M369" s="17"/>
      <x:c r="N369" s="17"/>
      <x:c r="O369" s="17"/>
      <x:c r="P369" s="17"/>
      <x:c r="Q369" s="17" t="str">
        <x:f>IF(COUNT(L369:P369)&lt;5,"",ROUND((L369*25+M369*20+N369*20+O369*20+P369*15)/5,1))</x:f>
      </x:c>
      <x:c r="R369" s="18" t="str"/>
      <x:c r="S369" s="18" t="str"/>
      <x:c r="T369" s="17" t="str"/>
      <x:c r="U369" s="19"/>
    </x:row>
    <x:row r="370">
      <x:c r="A370" s="17" t="str">
        <x:v>MTS-0369</x:v>
      </x:c>
      <x:c r="B370" s="17" t="str">
        <x:v>Photo Location Scrubber</x:v>
      </x:c>
      <x:c r="C370" s="17" t="str">
        <x:v>Privacy and Tracking Protection</x:v>
      </x:c>
      <x:c r="D370" s="17" t="str">
        <x:v>Mobile + Desktop</x:v>
      </x:c>
      <x:c r="E370" s="17" t="str">
        <x:v>Privacy-conscious consumers</x:v>
      </x:c>
      <x:c r="F370" s="18" t="str">
        <x:v>Photo Location Scrubber provides a focused privacy and tracking protection workflow for privacy-conscious consumers.</x:v>
      </x:c>
      <x:c r="G370" s="18" t="str">
        <x:v>Privacy Audit, Metadata, Permissions, Guidance</x:v>
      </x:c>
      <x:c r="H370" s="17" t="str">
        <x:v>Freemium + Pro</x:v>
      </x:c>
      <x:c r="I370" s="17" t="str">
        <x:v>Medium</x:v>
      </x:c>
      <x:c r="J370" s="17" t="str">
        <x:v>New candidate</x:v>
      </x:c>
      <x:c r="K370" s="17" t="str">
        <x:v>Unreviewed</x:v>
      </x:c>
      <x:c r="L370" s="17"/>
      <x:c r="M370" s="17"/>
      <x:c r="N370" s="17"/>
      <x:c r="O370" s="17"/>
      <x:c r="P370" s="17"/>
      <x:c r="Q370" s="17" t="str">
        <x:f>IF(COUNT(L370:P370)&lt;5,"",ROUND((L370*25+M370*20+N370*20+O370*20+P370*15)/5,1))</x:f>
      </x:c>
      <x:c r="R370" s="18" t="str"/>
      <x:c r="S370" s="18" t="str"/>
      <x:c r="T370" s="17" t="str"/>
      <x:c r="U370" s="19"/>
    </x:row>
    <x:row r="371">
      <x:c r="A371" s="17" t="str">
        <x:v>MTS-0370</x:v>
      </x:c>
      <x:c r="B371" s="17" t="str">
        <x:v>Document Metadata Cleaner</x:v>
      </x:c>
      <x:c r="C371" s="17" t="str">
        <x:v>Privacy and Tracking Protection</x:v>
      </x:c>
      <x:c r="D371" s="17" t="str">
        <x:v>Mobile + Desktop</x:v>
      </x:c>
      <x:c r="E371" s="17" t="str">
        <x:v>Privacy-conscious consumers</x:v>
      </x:c>
      <x:c r="F371" s="18" t="str">
        <x:v>Document Metadata Cleaner provides a focused privacy and tracking protection workflow for privacy-conscious consumers.</x:v>
      </x:c>
      <x:c r="G371" s="18" t="str">
        <x:v>Privacy Audit, Metadata, Permissions, Guidance</x:v>
      </x:c>
      <x:c r="H371" s="17" t="str">
        <x:v>Freemium + Pro</x:v>
      </x:c>
      <x:c r="I371" s="17" t="str">
        <x:v>Medium</x:v>
      </x:c>
      <x:c r="J371" s="17" t="str">
        <x:v>New candidate</x:v>
      </x:c>
      <x:c r="K371" s="17" t="str">
        <x:v>Unreviewed</x:v>
      </x:c>
      <x:c r="L371" s="17"/>
      <x:c r="M371" s="17"/>
      <x:c r="N371" s="17"/>
      <x:c r="O371" s="17"/>
      <x:c r="P371" s="17"/>
      <x:c r="Q371" s="17" t="str">
        <x:f>IF(COUNT(L371:P371)&lt;5,"",ROUND((L371*25+M371*20+N371*20+O371*20+P371*15)/5,1))</x:f>
      </x:c>
      <x:c r="R371" s="18" t="str"/>
      <x:c r="S371" s="18" t="str"/>
      <x:c r="T371" s="17" t="str"/>
      <x:c r="U371" s="19"/>
    </x:row>
    <x:row r="372">
      <x:c r="A372" s="17" t="str">
        <x:v>MTS-0371</x:v>
      </x:c>
      <x:c r="B372" s="17" t="str">
        <x:v>Consent Receipt Organizer</x:v>
      </x:c>
      <x:c r="C372" s="17" t="str">
        <x:v>Privacy and Tracking Protection</x:v>
      </x:c>
      <x:c r="D372" s="17" t="str">
        <x:v>Mobile + Desktop</x:v>
      </x:c>
      <x:c r="E372" s="17" t="str">
        <x:v>Privacy-conscious consumers</x:v>
      </x:c>
      <x:c r="F372" s="18" t="str">
        <x:v>Consent Receipt Organizer provides a focused privacy and tracking protection workflow for privacy-conscious consumers.</x:v>
      </x:c>
      <x:c r="G372" s="18" t="str">
        <x:v>Privacy Audit, Metadata, Permissions, Guidance</x:v>
      </x:c>
      <x:c r="H372" s="17" t="str">
        <x:v>Freemium + Pro</x:v>
      </x:c>
      <x:c r="I372" s="17" t="str">
        <x:v>Medium</x:v>
      </x:c>
      <x:c r="J372" s="17" t="str">
        <x:v>New candidate</x:v>
      </x:c>
      <x:c r="K372" s="17" t="str">
        <x:v>Unreviewed</x:v>
      </x:c>
      <x:c r="L372" s="17"/>
      <x:c r="M372" s="17"/>
      <x:c r="N372" s="17"/>
      <x:c r="O372" s="17"/>
      <x:c r="P372" s="17"/>
      <x:c r="Q372" s="17" t="str">
        <x:f>IF(COUNT(L372:P372)&lt;5,"",ROUND((L372*25+M372*20+N372*20+O372*20+P372*15)/5,1))</x:f>
      </x:c>
      <x:c r="R372" s="18" t="str"/>
      <x:c r="S372" s="18" t="str"/>
      <x:c r="T372" s="17" t="str"/>
      <x:c r="U372" s="19"/>
    </x:row>
    <x:row r="373">
      <x:c r="A373" s="17" t="str">
        <x:v>MTS-0372</x:v>
      </x:c>
      <x:c r="B373" s="17" t="str">
        <x:v>Data Broker Removal Planner</x:v>
      </x:c>
      <x:c r="C373" s="17" t="str">
        <x:v>Privacy and Tracking Protection</x:v>
      </x:c>
      <x:c r="D373" s="17" t="str">
        <x:v>Mobile + Desktop</x:v>
      </x:c>
      <x:c r="E373" s="17" t="str">
        <x:v>Privacy-conscious consumers</x:v>
      </x:c>
      <x:c r="F373" s="18" t="str">
        <x:v>Data Broker Removal Planner provides a focused privacy and tracking protection workflow for privacy-conscious consumers.</x:v>
      </x:c>
      <x:c r="G373" s="18" t="str">
        <x:v>Privacy Audit, Metadata, Permissions, Guidance</x:v>
      </x:c>
      <x:c r="H373" s="17" t="str">
        <x:v>Freemium + Pro</x:v>
      </x:c>
      <x:c r="I373" s="17" t="str">
        <x:v>Medium</x:v>
      </x:c>
      <x:c r="J373" s="17" t="str">
        <x:v>New candidate</x:v>
      </x:c>
      <x:c r="K373" s="17" t="str">
        <x:v>Unreviewed</x:v>
      </x:c>
      <x:c r="L373" s="17"/>
      <x:c r="M373" s="17"/>
      <x:c r="N373" s="17"/>
      <x:c r="O373" s="17"/>
      <x:c r="P373" s="17"/>
      <x:c r="Q373" s="17" t="str">
        <x:f>IF(COUNT(L373:P373)&lt;5,"",ROUND((L373*25+M373*20+N373*20+O373*20+P373*15)/5,1))</x:f>
      </x:c>
      <x:c r="R373" s="18" t="str"/>
      <x:c r="S373" s="18" t="str"/>
      <x:c r="T373" s="17" t="str"/>
      <x:c r="U373" s="19"/>
    </x:row>
    <x:row r="374">
      <x:c r="A374" s="17" t="str">
        <x:v>MTS-0373</x:v>
      </x:c>
      <x:c r="B374" s="17" t="str">
        <x:v>Account Security Inventory</x:v>
      </x:c>
      <x:c r="C374" s="17" t="str">
        <x:v>Identity and Account Security</x:v>
      </x:c>
      <x:c r="D374" s="17" t="str">
        <x:v>Mobile + Web</x:v>
      </x:c>
      <x:c r="E374" s="17" t="str">
        <x:v>Consumers and families</x:v>
      </x:c>
      <x:c r="F374" s="18" t="str">
        <x:v>Account Security Inventory provides a focused identity and account security workflow for consumers and families.</x:v>
      </x:c>
      <x:c r="G374" s="18" t="str">
        <x:v>Account Inventory, MFA, Recovery, Alerts</x:v>
      </x:c>
      <x:c r="H374" s="17" t="str">
        <x:v>Subscription + Pro</x:v>
      </x:c>
      <x:c r="I374" s="17" t="str">
        <x:v>Medium</x:v>
      </x:c>
      <x:c r="J374" s="17" t="str">
        <x:v>New candidate</x:v>
      </x:c>
      <x:c r="K374" s="17" t="str">
        <x:v>Unreviewed</x:v>
      </x:c>
      <x:c r="L374" s="17"/>
      <x:c r="M374" s="17"/>
      <x:c r="N374" s="17"/>
      <x:c r="O374" s="17"/>
      <x:c r="P374" s="17"/>
      <x:c r="Q374" s="17" t="str">
        <x:f>IF(COUNT(L374:P374)&lt;5,"",ROUND((L374*25+M374*20+N374*20+O374*20+P374*15)/5,1))</x:f>
      </x:c>
      <x:c r="R374" s="18" t="str"/>
      <x:c r="S374" s="18" t="str"/>
      <x:c r="T374" s="17" t="str"/>
      <x:c r="U374" s="19"/>
    </x:row>
    <x:row r="375">
      <x:c r="A375" s="17" t="str">
        <x:v>MTS-0374</x:v>
      </x:c>
      <x:c r="B375" s="17" t="str">
        <x:v>Two-Factor Adoption Tracker</x:v>
      </x:c>
      <x:c r="C375" s="17" t="str">
        <x:v>Identity and Account Security</x:v>
      </x:c>
      <x:c r="D375" s="17" t="str">
        <x:v>Mobile + Web</x:v>
      </x:c>
      <x:c r="E375" s="17" t="str">
        <x:v>Consumers and families</x:v>
      </x:c>
      <x:c r="F375" s="18" t="str">
        <x:v>Two-Factor Adoption Tracker provides a focused identity and account security workflow for consumers and families.</x:v>
      </x:c>
      <x:c r="G375" s="18" t="str">
        <x:v>Account Inventory, MFA, Recovery, Alerts</x:v>
      </x:c>
      <x:c r="H375" s="17" t="str">
        <x:v>Subscription + Pro</x:v>
      </x:c>
      <x:c r="I375" s="17" t="str">
        <x:v>Medium</x:v>
      </x:c>
      <x:c r="J375" s="17" t="str">
        <x:v>New candidate</x:v>
      </x:c>
      <x:c r="K375" s="17" t="str">
        <x:v>Unreviewed</x:v>
      </x:c>
      <x:c r="L375" s="17"/>
      <x:c r="M375" s="17"/>
      <x:c r="N375" s="17"/>
      <x:c r="O375" s="17"/>
      <x:c r="P375" s="17"/>
      <x:c r="Q375" s="17" t="str">
        <x:f>IF(COUNT(L375:P375)&lt;5,"",ROUND((L375*25+M375*20+N375*20+O375*20+P375*15)/5,1))</x:f>
      </x:c>
      <x:c r="R375" s="18" t="str"/>
      <x:c r="S375" s="18" t="str"/>
      <x:c r="T375" s="17" t="str"/>
      <x:c r="U375" s="19"/>
    </x:row>
    <x:row r="376">
      <x:c r="A376" s="17" t="str">
        <x:v>MTS-0375</x:v>
      </x:c>
      <x:c r="B376" s="17" t="str">
        <x:v>Passkey Readiness Checker</x:v>
      </x:c>
      <x:c r="C376" s="17" t="str">
        <x:v>Identity and Account Security</x:v>
      </x:c>
      <x:c r="D376" s="17" t="str">
        <x:v>Mobile + Web</x:v>
      </x:c>
      <x:c r="E376" s="17" t="str">
        <x:v>Consumers and families</x:v>
      </x:c>
      <x:c r="F376" s="18" t="str">
        <x:v>Passkey Readiness Checker provides a focused identity and account security workflow for consumers and families.</x:v>
      </x:c>
      <x:c r="G376" s="18" t="str">
        <x:v>Account Inventory, MFA, Recovery, Alerts</x:v>
      </x:c>
      <x:c r="H376" s="17" t="str">
        <x:v>Subscription + Pro</x:v>
      </x:c>
      <x:c r="I376" s="17" t="str">
        <x:v>Medium</x:v>
      </x:c>
      <x:c r="J376" s="17" t="str">
        <x:v>New candidate</x:v>
      </x:c>
      <x:c r="K376" s="17" t="str">
        <x:v>Unreviewed</x:v>
      </x:c>
      <x:c r="L376" s="17"/>
      <x:c r="M376" s="17"/>
      <x:c r="N376" s="17"/>
      <x:c r="O376" s="17"/>
      <x:c r="P376" s="17"/>
      <x:c r="Q376" s="17" t="str">
        <x:f>IF(COUNT(L376:P376)&lt;5,"",ROUND((L376*25+M376*20+N376*20+O376*20+P376*15)/5,1))</x:f>
      </x:c>
      <x:c r="R376" s="18" t="str"/>
      <x:c r="S376" s="18" t="str"/>
      <x:c r="T376" s="17" t="str"/>
      <x:c r="U376" s="19"/>
    </x:row>
    <x:row r="377">
      <x:c r="A377" s="17" t="str">
        <x:v>MTS-0376</x:v>
      </x:c>
      <x:c r="B377" s="17" t="str">
        <x:v>Recovery Method Auditor</x:v>
      </x:c>
      <x:c r="C377" s="17" t="str">
        <x:v>Identity and Account Security</x:v>
      </x:c>
      <x:c r="D377" s="17" t="str">
        <x:v>Mobile + Web</x:v>
      </x:c>
      <x:c r="E377" s="17" t="str">
        <x:v>Consumers and families</x:v>
      </x:c>
      <x:c r="F377" s="18" t="str">
        <x:v>Recovery Method Auditor provides a focused identity and account security workflow for consumers and families.</x:v>
      </x:c>
      <x:c r="G377" s="18" t="str">
        <x:v>Account Inventory, MFA, Recovery, Alerts</x:v>
      </x:c>
      <x:c r="H377" s="17" t="str">
        <x:v>Subscription + Pro</x:v>
      </x:c>
      <x:c r="I377" s="17" t="str">
        <x:v>Medium</x:v>
      </x:c>
      <x:c r="J377" s="17" t="str">
        <x:v>New candidate</x:v>
      </x:c>
      <x:c r="K377" s="17" t="str">
        <x:v>Unreviewed</x:v>
      </x:c>
      <x:c r="L377" s="17"/>
      <x:c r="M377" s="17"/>
      <x:c r="N377" s="17"/>
      <x:c r="O377" s="17"/>
      <x:c r="P377" s="17"/>
      <x:c r="Q377" s="17" t="str">
        <x:f>IF(COUNT(L377:P377)&lt;5,"",ROUND((L377*25+M377*20+N377*20+O377*20+P377*15)/5,1))</x:f>
      </x:c>
      <x:c r="R377" s="18" t="str"/>
      <x:c r="S377" s="18" t="str"/>
      <x:c r="T377" s="17" t="str"/>
      <x:c r="U377" s="19"/>
    </x:row>
    <x:row r="378">
      <x:c r="A378" s="17" t="str">
        <x:v>MTS-0377</x:v>
      </x:c>
      <x:c r="B378" s="17" t="str">
        <x:v>Security Question Retirement Guide</x:v>
      </x:c>
      <x:c r="C378" s="17" t="str">
        <x:v>Identity and Account Security</x:v>
      </x:c>
      <x:c r="D378" s="17" t="str">
        <x:v>Mobile + Web</x:v>
      </x:c>
      <x:c r="E378" s="17" t="str">
        <x:v>Consumers and families</x:v>
      </x:c>
      <x:c r="F378" s="18" t="str">
        <x:v>Security Question Retirement Guide provides a focused identity and account security workflow for consumers and families.</x:v>
      </x:c>
      <x:c r="G378" s="18" t="str">
        <x:v>Account Inventory, MFA, Recovery, Alerts</x:v>
      </x:c>
      <x:c r="H378" s="17" t="str">
        <x:v>Subscription + Pro</x:v>
      </x:c>
      <x:c r="I378" s="17" t="str">
        <x:v>Medium</x:v>
      </x:c>
      <x:c r="J378" s="17" t="str">
        <x:v>New candidate</x:v>
      </x:c>
      <x:c r="K378" s="17" t="str">
        <x:v>Unreviewed</x:v>
      </x:c>
      <x:c r="L378" s="17"/>
      <x:c r="M378" s="17"/>
      <x:c r="N378" s="17"/>
      <x:c r="O378" s="17"/>
      <x:c r="P378" s="17"/>
      <x:c r="Q378" s="17" t="str">
        <x:f>IF(COUNT(L378:P378)&lt;5,"",ROUND((L378*25+M378*20+N378*20+O378*20+P378*15)/5,1))</x:f>
      </x:c>
      <x:c r="R378" s="18" t="str"/>
      <x:c r="S378" s="18" t="str"/>
      <x:c r="T378" s="17" t="str"/>
      <x:c r="U378" s="19"/>
    </x:row>
    <x:row r="379">
      <x:c r="A379" s="17" t="str">
        <x:v>MTS-0378</x:v>
      </x:c>
      <x:c r="B379" s="17" t="str">
        <x:v>Trusted Device Review</x:v>
      </x:c>
      <x:c r="C379" s="17" t="str">
        <x:v>Identity and Account Security</x:v>
      </x:c>
      <x:c r="D379" s="17" t="str">
        <x:v>Mobile + Web</x:v>
      </x:c>
      <x:c r="E379" s="17" t="str">
        <x:v>Consumers and families</x:v>
      </x:c>
      <x:c r="F379" s="18" t="str">
        <x:v>Trusted Device Review provides a focused identity and account security workflow for consumers and families.</x:v>
      </x:c>
      <x:c r="G379" s="18" t="str">
        <x:v>Account Inventory, MFA, Recovery, Alerts</x:v>
      </x:c>
      <x:c r="H379" s="17" t="str">
        <x:v>Subscription + Pro</x:v>
      </x:c>
      <x:c r="I379" s="17" t="str">
        <x:v>Medium</x:v>
      </x:c>
      <x:c r="J379" s="17" t="str">
        <x:v>New candidate</x:v>
      </x:c>
      <x:c r="K379" s="17" t="str">
        <x:v>Unreviewed</x:v>
      </x:c>
      <x:c r="L379" s="17"/>
      <x:c r="M379" s="17"/>
      <x:c r="N379" s="17"/>
      <x:c r="O379" s="17"/>
      <x:c r="P379" s="17"/>
      <x:c r="Q379" s="17" t="str">
        <x:f>IF(COUNT(L379:P379)&lt;5,"",ROUND((L379*25+M379*20+N379*20+O379*20+P379*15)/5,1))</x:f>
      </x:c>
      <x:c r="R379" s="18" t="str"/>
      <x:c r="S379" s="18" t="str"/>
      <x:c r="T379" s="17" t="str"/>
      <x:c r="U379" s="19"/>
    </x:row>
    <x:row r="380">
      <x:c r="A380" s="17" t="str">
        <x:v>MTS-0379</x:v>
      </x:c>
      <x:c r="B380" s="17" t="str">
        <x:v>Dormant Account Finder</x:v>
      </x:c>
      <x:c r="C380" s="17" t="str">
        <x:v>Identity and Account Security</x:v>
      </x:c>
      <x:c r="D380" s="17" t="str">
        <x:v>Mobile + Web</x:v>
      </x:c>
      <x:c r="E380" s="17" t="str">
        <x:v>Consumers and families</x:v>
      </x:c>
      <x:c r="F380" s="18" t="str">
        <x:v>Dormant Account Finder provides a focused identity and account security workflow for consumers and families.</x:v>
      </x:c>
      <x:c r="G380" s="18" t="str">
        <x:v>Account Inventory, MFA, Recovery, Alerts</x:v>
      </x:c>
      <x:c r="H380" s="17" t="str">
        <x:v>Subscription + Pro</x:v>
      </x:c>
      <x:c r="I380" s="17" t="str">
        <x:v>Medium</x:v>
      </x:c>
      <x:c r="J380" s="17" t="str">
        <x:v>New candidate</x:v>
      </x:c>
      <x:c r="K380" s="17" t="str">
        <x:v>Unreviewed</x:v>
      </x:c>
      <x:c r="L380" s="17"/>
      <x:c r="M380" s="17"/>
      <x:c r="N380" s="17"/>
      <x:c r="O380" s="17"/>
      <x:c r="P380" s="17"/>
      <x:c r="Q380" s="17" t="str">
        <x:f>IF(COUNT(L380:P380)&lt;5,"",ROUND((L380*25+M380*20+N380*20+O380*20+P380*15)/5,1))</x:f>
      </x:c>
      <x:c r="R380" s="18" t="str"/>
      <x:c r="S380" s="18" t="str"/>
      <x:c r="T380" s="17" t="str"/>
      <x:c r="U380" s="19"/>
    </x:row>
    <x:row r="381">
      <x:c r="A381" s="17" t="str">
        <x:v>MTS-0380</x:v>
      </x:c>
      <x:c r="B381" s="17" t="str">
        <x:v>Account Closure Planner</x:v>
      </x:c>
      <x:c r="C381" s="17" t="str">
        <x:v>Identity and Account Security</x:v>
      </x:c>
      <x:c r="D381" s="17" t="str">
        <x:v>Mobile + Web</x:v>
      </x:c>
      <x:c r="E381" s="17" t="str">
        <x:v>Consumers and families</x:v>
      </x:c>
      <x:c r="F381" s="18" t="str">
        <x:v>Account Closure Planner provides a focused identity and account security workflow for consumers and families.</x:v>
      </x:c>
      <x:c r="G381" s="18" t="str">
        <x:v>Account Inventory, MFA, Recovery, Alerts</x:v>
      </x:c>
      <x:c r="H381" s="17" t="str">
        <x:v>Subscription + Pro</x:v>
      </x:c>
      <x:c r="I381" s="17" t="str">
        <x:v>Medium</x:v>
      </x:c>
      <x:c r="J381" s="17" t="str">
        <x:v>New candidate</x:v>
      </x:c>
      <x:c r="K381" s="17" t="str">
        <x:v>Unreviewed</x:v>
      </x:c>
      <x:c r="L381" s="17"/>
      <x:c r="M381" s="17"/>
      <x:c r="N381" s="17"/>
      <x:c r="O381" s="17"/>
      <x:c r="P381" s="17"/>
      <x:c r="Q381" s="17" t="str">
        <x:f>IF(COUNT(L381:P381)&lt;5,"",ROUND((L381*25+M381*20+N381*20+O381*20+P381*15)/5,1))</x:f>
      </x:c>
      <x:c r="R381" s="18" t="str"/>
      <x:c r="S381" s="18" t="str"/>
      <x:c r="T381" s="17" t="str"/>
      <x:c r="U381" s="19"/>
    </x:row>
    <x:row r="382">
      <x:c r="A382" s="17" t="str">
        <x:v>MTS-0381</x:v>
      </x:c>
      <x:c r="B382" s="17" t="str">
        <x:v>Login Alert Organizer</x:v>
      </x:c>
      <x:c r="C382" s="17" t="str">
        <x:v>Identity and Account Security</x:v>
      </x:c>
      <x:c r="D382" s="17" t="str">
        <x:v>Mobile + Web</x:v>
      </x:c>
      <x:c r="E382" s="17" t="str">
        <x:v>Consumers and families</x:v>
      </x:c>
      <x:c r="F382" s="18" t="str">
        <x:v>Login Alert Organizer provides a focused identity and account security workflow for consumers and families.</x:v>
      </x:c>
      <x:c r="G382" s="18" t="str">
        <x:v>Account Inventory, MFA, Recovery, Alerts</x:v>
      </x:c>
      <x:c r="H382" s="17" t="str">
        <x:v>Subscription + Pro</x:v>
      </x:c>
      <x:c r="I382" s="17" t="str">
        <x:v>Medium</x:v>
      </x:c>
      <x:c r="J382" s="17" t="str">
        <x:v>New candidate</x:v>
      </x:c>
      <x:c r="K382" s="17" t="str">
        <x:v>Unreviewed</x:v>
      </x:c>
      <x:c r="L382" s="17"/>
      <x:c r="M382" s="17"/>
      <x:c r="N382" s="17"/>
      <x:c r="O382" s="17"/>
      <x:c r="P382" s="17"/>
      <x:c r="Q382" s="17" t="str">
        <x:f>IF(COUNT(L382:P382)&lt;5,"",ROUND((L382*25+M382*20+N382*20+O382*20+P382*15)/5,1))</x:f>
      </x:c>
      <x:c r="R382" s="18" t="str"/>
      <x:c r="S382" s="18" t="str"/>
      <x:c r="T382" s="17" t="str"/>
      <x:c r="U382" s="19"/>
    </x:row>
    <x:row r="383">
      <x:c r="A383" s="17" t="str">
        <x:v>MTS-0382</x:v>
      </x:c>
      <x:c r="B383" s="17" t="str">
        <x:v>Identity Document Exposure Checklist</x:v>
      </x:c>
      <x:c r="C383" s="17" t="str">
        <x:v>Identity and Account Security</x:v>
      </x:c>
      <x:c r="D383" s="17" t="str">
        <x:v>Mobile + Web</x:v>
      </x:c>
      <x:c r="E383" s="17" t="str">
        <x:v>Consumers and families</x:v>
      </x:c>
      <x:c r="F383" s="18" t="str">
        <x:v>Identity Document Exposure Checklist provides a focused identity and account security workflow for consumers and families.</x:v>
      </x:c>
      <x:c r="G383" s="18" t="str">
        <x:v>Account Inventory, MFA, Recovery, Alerts</x:v>
      </x:c>
      <x:c r="H383" s="17" t="str">
        <x:v>Subscription + Pro</x:v>
      </x:c>
      <x:c r="I383" s="17" t="str">
        <x:v>Medium</x:v>
      </x:c>
      <x:c r="J383" s="17" t="str">
        <x:v>New candidate</x:v>
      </x:c>
      <x:c r="K383" s="17" t="str">
        <x:v>Unreviewed</x:v>
      </x:c>
      <x:c r="L383" s="17"/>
      <x:c r="M383" s="17"/>
      <x:c r="N383" s="17"/>
      <x:c r="O383" s="17"/>
      <x:c r="P383" s="17"/>
      <x:c r="Q383" s="17" t="str">
        <x:f>IF(COUNT(L383:P383)&lt;5,"",ROUND((L383*25+M383*20+N383*20+O383*20+P383*15)/5,1))</x:f>
      </x:c>
      <x:c r="R383" s="18" t="str"/>
      <x:c r="S383" s="18" t="str"/>
      <x:c r="T383" s="17" t="str"/>
      <x:c r="U383" s="19"/>
    </x:row>
    <x:row r="384">
      <x:c r="A384" s="17" t="str">
        <x:v>MTS-0383</x:v>
      </x:c>
      <x:c r="B384" s="17" t="str">
        <x:v>Account Takeover Recovery Plan</x:v>
      </x:c>
      <x:c r="C384" s="17" t="str">
        <x:v>Identity and Account Security</x:v>
      </x:c>
      <x:c r="D384" s="17" t="str">
        <x:v>Mobile + Web</x:v>
      </x:c>
      <x:c r="E384" s="17" t="str">
        <x:v>Consumers and families</x:v>
      </x:c>
      <x:c r="F384" s="18" t="str">
        <x:v>Account Takeover Recovery Plan provides a focused identity and account security workflow for consumers and families.</x:v>
      </x:c>
      <x:c r="G384" s="18" t="str">
        <x:v>Account Inventory, MFA, Recovery, Alerts</x:v>
      </x:c>
      <x:c r="H384" s="17" t="str">
        <x:v>Subscription + Pro</x:v>
      </x:c>
      <x:c r="I384" s="17" t="str">
        <x:v>Medium</x:v>
      </x:c>
      <x:c r="J384" s="17" t="str">
        <x:v>New candidate</x:v>
      </x:c>
      <x:c r="K384" s="17" t="str">
        <x:v>Unreviewed</x:v>
      </x:c>
      <x:c r="L384" s="17"/>
      <x:c r="M384" s="17"/>
      <x:c r="N384" s="17"/>
      <x:c r="O384" s="17"/>
      <x:c r="P384" s="17"/>
      <x:c r="Q384" s="17" t="str">
        <x:f>IF(COUNT(L384:P384)&lt;5,"",ROUND((L384*25+M384*20+N384*20+O384*20+P384*15)/5,1))</x:f>
      </x:c>
      <x:c r="R384" s="18" t="str"/>
      <x:c r="S384" s="18" t="str"/>
      <x:c r="T384" s="17" t="str"/>
      <x:c r="U384" s="19"/>
    </x:row>
    <x:row r="385">
      <x:c r="A385" s="17" t="str">
        <x:v>MTS-0384</x:v>
      </x:c>
      <x:c r="B385" s="17" t="str">
        <x:v>Digital Legacy Security Binder</x:v>
      </x:c>
      <x:c r="C385" s="17" t="str">
        <x:v>Identity and Account Security</x:v>
      </x:c>
      <x:c r="D385" s="17" t="str">
        <x:v>Mobile + Web</x:v>
      </x:c>
      <x:c r="E385" s="17" t="str">
        <x:v>Consumers and families</x:v>
      </x:c>
      <x:c r="F385" s="18" t="str">
        <x:v>Digital Legacy Security Binder provides a focused identity and account security workflow for consumers and families.</x:v>
      </x:c>
      <x:c r="G385" s="18" t="str">
        <x:v>Account Inventory, MFA, Recovery, Alerts</x:v>
      </x:c>
      <x:c r="H385" s="17" t="str">
        <x:v>Subscription + Pro</x:v>
      </x:c>
      <x:c r="I385" s="17" t="str">
        <x:v>Medium</x:v>
      </x:c>
      <x:c r="J385" s="17" t="str">
        <x:v>New candidate</x:v>
      </x:c>
      <x:c r="K385" s="17" t="str">
        <x:v>Unreviewed</x:v>
      </x:c>
      <x:c r="L385" s="17"/>
      <x:c r="M385" s="17"/>
      <x:c r="N385" s="17"/>
      <x:c r="O385" s="17"/>
      <x:c r="P385" s="17"/>
      <x:c r="Q385" s="17" t="str">
        <x:f>IF(COUNT(L385:P385)&lt;5,"",ROUND((L385*25+M385*20+N385*20+O385*20+P385*15)/5,1))</x:f>
      </x:c>
      <x:c r="R385" s="18" t="str"/>
      <x:c r="S385" s="18" t="str"/>
      <x:c r="T385" s="17" t="str"/>
      <x:c r="U385" s="19"/>
    </x:row>
    <x:row r="386">
      <x:c r="A386" s="17" t="str">
        <x:v>MTS-0385</x:v>
      </x:c>
      <x:c r="B386" s="17" t="str">
        <x:v>Suspicious Message Checker</x:v>
      </x:c>
      <x:c r="C386" s="17" t="str">
        <x:v>Scam Phishing and Fraud Defense</x:v>
      </x:c>
      <x:c r="D386" s="17" t="str">
        <x:v>Mobile + Web</x:v>
      </x:c>
      <x:c r="E386" s="17" t="str">
        <x:v>Consumers and small businesses</x:v>
      </x:c>
      <x:c r="F386" s="18" t="str">
        <x:v>Suspicious Message Checker provides a focused scam phishing and fraud defense workflow for consumers and small businesses.</x:v>
      </x:c>
      <x:c r="G386" s="18" t="str">
        <x:v>Content Analysis, Checklists, Evidence, Reporting</x:v>
      </x:c>
      <x:c r="H386" s="17" t="str">
        <x:v>Freemium + Pro</x:v>
      </x:c>
      <x:c r="I386" s="17" t="str">
        <x:v>Medium</x:v>
      </x:c>
      <x:c r="J386" s="17" t="str">
        <x:v>New candidate</x:v>
      </x:c>
      <x:c r="K386" s="17" t="str">
        <x:v>Unreviewed</x:v>
      </x:c>
      <x:c r="L386" s="17"/>
      <x:c r="M386" s="17"/>
      <x:c r="N386" s="17"/>
      <x:c r="O386" s="17"/>
      <x:c r="P386" s="17"/>
      <x:c r="Q386" s="17" t="str">
        <x:f>IF(COUNT(L386:P386)&lt;5,"",ROUND((L386*25+M386*20+N386*20+O386*20+P386*15)/5,1))</x:f>
      </x:c>
      <x:c r="R386" s="18" t="str"/>
      <x:c r="S386" s="18" t="str"/>
      <x:c r="T386" s="17" t="str"/>
      <x:c r="U386" s="19"/>
    </x:row>
    <x:row r="387">
      <x:c r="A387" s="17" t="str">
        <x:v>MTS-0386</x:v>
      </x:c>
      <x:c r="B387" s="17" t="str">
        <x:v>Fake Invoice Analyzer</x:v>
      </x:c>
      <x:c r="C387" s="17" t="str">
        <x:v>Scam Phishing and Fraud Defense</x:v>
      </x:c>
      <x:c r="D387" s="17" t="str">
        <x:v>Mobile + Web</x:v>
      </x:c>
      <x:c r="E387" s="17" t="str">
        <x:v>Consumers and small businesses</x:v>
      </x:c>
      <x:c r="F387" s="18" t="str">
        <x:v>Fake Invoice Analyzer provides a focused scam phishing and fraud defense workflow for consumers and small businesses.</x:v>
      </x:c>
      <x:c r="G387" s="18" t="str">
        <x:v>Content Analysis, Checklists, Evidence, Reporting</x:v>
      </x:c>
      <x:c r="H387" s="17" t="str">
        <x:v>Freemium + Pro</x:v>
      </x:c>
      <x:c r="I387" s="17" t="str">
        <x:v>Medium</x:v>
      </x:c>
      <x:c r="J387" s="17" t="str">
        <x:v>New candidate</x:v>
      </x:c>
      <x:c r="K387" s="17" t="str">
        <x:v>Unreviewed</x:v>
      </x:c>
      <x:c r="L387" s="17"/>
      <x:c r="M387" s="17"/>
      <x:c r="N387" s="17"/>
      <x:c r="O387" s="17"/>
      <x:c r="P387" s="17"/>
      <x:c r="Q387" s="17" t="str">
        <x:f>IF(COUNT(L387:P387)&lt;5,"",ROUND((L387*25+M387*20+N387*20+O387*20+P387*15)/5,1))</x:f>
      </x:c>
      <x:c r="R387" s="18" t="str"/>
      <x:c r="S387" s="18" t="str"/>
      <x:c r="T387" s="17" t="str"/>
      <x:c r="U387" s="19"/>
    </x:row>
    <x:row r="388">
      <x:c r="A388" s="17" t="str">
        <x:v>MTS-0387</x:v>
      </x:c>
      <x:c r="B388" s="17" t="str">
        <x:v>Romance Scam Warning Guide</x:v>
      </x:c>
      <x:c r="C388" s="17" t="str">
        <x:v>Scam Phishing and Fraud Defense</x:v>
      </x:c>
      <x:c r="D388" s="17" t="str">
        <x:v>Mobile + Web</x:v>
      </x:c>
      <x:c r="E388" s="17" t="str">
        <x:v>Consumers and small businesses</x:v>
      </x:c>
      <x:c r="F388" s="18" t="str">
        <x:v>Romance Scam Warning Guide provides a focused scam phishing and fraud defense workflow for consumers and small businesses.</x:v>
      </x:c>
      <x:c r="G388" s="18" t="str">
        <x:v>Content Analysis, Checklists, Evidence, Reporting</x:v>
      </x:c>
      <x:c r="H388" s="17" t="str">
        <x:v>Freemium + Pro</x:v>
      </x:c>
      <x:c r="I388" s="17" t="str">
        <x:v>Medium</x:v>
      </x:c>
      <x:c r="J388" s="17" t="str">
        <x:v>New candidate</x:v>
      </x:c>
      <x:c r="K388" s="17" t="str">
        <x:v>Unreviewed</x:v>
      </x:c>
      <x:c r="L388" s="17"/>
      <x:c r="M388" s="17"/>
      <x:c r="N388" s="17"/>
      <x:c r="O388" s="17"/>
      <x:c r="P388" s="17"/>
      <x:c r="Q388" s="17" t="str">
        <x:f>IF(COUNT(L388:P388)&lt;5,"",ROUND((L388*25+M388*20+N388*20+O388*20+P388*15)/5,1))</x:f>
      </x:c>
      <x:c r="R388" s="18" t="str"/>
      <x:c r="S388" s="18" t="str"/>
      <x:c r="T388" s="17" t="str"/>
      <x:c r="U388" s="19"/>
    </x:row>
    <x:row r="389">
      <x:c r="A389" s="17" t="str">
        <x:v>MTS-0388</x:v>
      </x:c>
      <x:c r="B389" s="17" t="str">
        <x:v>Marketplace Scam Checklist</x:v>
      </x:c>
      <x:c r="C389" s="17" t="str">
        <x:v>Scam Phishing and Fraud Defense</x:v>
      </x:c>
      <x:c r="D389" s="17" t="str">
        <x:v>Mobile + Web</x:v>
      </x:c>
      <x:c r="E389" s="17" t="str">
        <x:v>Consumers and small businesses</x:v>
      </x:c>
      <x:c r="F389" s="18" t="str">
        <x:v>Marketplace Scam Checklist provides a focused scam phishing and fraud defense workflow for consumers and small businesses.</x:v>
      </x:c>
      <x:c r="G389" s="18" t="str">
        <x:v>Content Analysis, Checklists, Evidence, Reporting</x:v>
      </x:c>
      <x:c r="H389" s="17" t="str">
        <x:v>Freemium + Pro</x:v>
      </x:c>
      <x:c r="I389" s="17" t="str">
        <x:v>Medium</x:v>
      </x:c>
      <x:c r="J389" s="17" t="str">
        <x:v>New candidate</x:v>
      </x:c>
      <x:c r="K389" s="17" t="str">
        <x:v>Unreviewed</x:v>
      </x:c>
      <x:c r="L389" s="17"/>
      <x:c r="M389" s="17"/>
      <x:c r="N389" s="17"/>
      <x:c r="O389" s="17"/>
      <x:c r="P389" s="17"/>
      <x:c r="Q389" s="17" t="str">
        <x:f>IF(COUNT(L389:P389)&lt;5,"",ROUND((L389*25+M389*20+N389*20+O389*20+P389*15)/5,1))</x:f>
      </x:c>
      <x:c r="R389" s="18" t="str"/>
      <x:c r="S389" s="18" t="str"/>
      <x:c r="T389" s="17" t="str"/>
      <x:c r="U389" s="19"/>
    </x:row>
    <x:row r="390">
      <x:c r="A390" s="17" t="str">
        <x:v>MTS-0389</x:v>
      </x:c>
      <x:c r="B390" s="17" t="str">
        <x:v>Job Offer Scam Screener</x:v>
      </x:c>
      <x:c r="C390" s="17" t="str">
        <x:v>Scam Phishing and Fraud Defense</x:v>
      </x:c>
      <x:c r="D390" s="17" t="str">
        <x:v>Mobile + Web</x:v>
      </x:c>
      <x:c r="E390" s="17" t="str">
        <x:v>Consumers and small businesses</x:v>
      </x:c>
      <x:c r="F390" s="18" t="str">
        <x:v>Job Offer Scam Screener provides a focused scam phishing and fraud defense workflow for consumers and small businesses.</x:v>
      </x:c>
      <x:c r="G390" s="18" t="str">
        <x:v>Content Analysis, Checklists, Evidence, Reporting</x:v>
      </x:c>
      <x:c r="H390" s="17" t="str">
        <x:v>Freemium + Pro</x:v>
      </x:c>
      <x:c r="I390" s="17" t="str">
        <x:v>Medium</x:v>
      </x:c>
      <x:c r="J390" s="17" t="str">
        <x:v>New candidate</x:v>
      </x:c>
      <x:c r="K390" s="17" t="str">
        <x:v>Unreviewed</x:v>
      </x:c>
      <x:c r="L390" s="17"/>
      <x:c r="M390" s="17"/>
      <x:c r="N390" s="17"/>
      <x:c r="O390" s="17"/>
      <x:c r="P390" s="17"/>
      <x:c r="Q390" s="17" t="str">
        <x:f>IF(COUNT(L390:P390)&lt;5,"",ROUND((L390*25+M390*20+N390*20+O390*20+P390*15)/5,1))</x:f>
      </x:c>
      <x:c r="R390" s="18" t="str"/>
      <x:c r="S390" s="18" t="str"/>
      <x:c r="T390" s="17" t="str"/>
      <x:c r="U390" s="19"/>
    </x:row>
    <x:row r="391">
      <x:c r="A391" s="17" t="str">
        <x:v>MTS-0390</x:v>
      </x:c>
      <x:c r="B391" s="17" t="str">
        <x:v>Tech Support Scam Coach</x:v>
      </x:c>
      <x:c r="C391" s="17" t="str">
        <x:v>Scam Phishing and Fraud Defense</x:v>
      </x:c>
      <x:c r="D391" s="17" t="str">
        <x:v>Mobile + Web</x:v>
      </x:c>
      <x:c r="E391" s="17" t="str">
        <x:v>Consumers and small businesses</x:v>
      </x:c>
      <x:c r="F391" s="18" t="str">
        <x:v>Tech Support Scam Coach provides a focused scam phishing and fraud defense workflow for consumers and small businesses.</x:v>
      </x:c>
      <x:c r="G391" s="18" t="str">
        <x:v>Content Analysis, Checklists, Evidence, Reporting</x:v>
      </x:c>
      <x:c r="H391" s="17" t="str">
        <x:v>Freemium + Pro</x:v>
      </x:c>
      <x:c r="I391" s="17" t="str">
        <x:v>Medium</x:v>
      </x:c>
      <x:c r="J391" s="17" t="str">
        <x:v>New candidate</x:v>
      </x:c>
      <x:c r="K391" s="17" t="str">
        <x:v>Unreviewed</x:v>
      </x:c>
      <x:c r="L391" s="17"/>
      <x:c r="M391" s="17"/>
      <x:c r="N391" s="17"/>
      <x:c r="O391" s="17"/>
      <x:c r="P391" s="17"/>
      <x:c r="Q391" s="17" t="str">
        <x:f>IF(COUNT(L391:P391)&lt;5,"",ROUND((L391*25+M391*20+N391*20+O391*20+P391*15)/5,1))</x:f>
      </x:c>
      <x:c r="R391" s="18" t="str"/>
      <x:c r="S391" s="18" t="str"/>
      <x:c r="T391" s="17" t="str"/>
      <x:c r="U391" s="19"/>
    </x:row>
    <x:row r="392">
      <x:c r="A392" s="17" t="str">
        <x:v>MTS-0391</x:v>
      </x:c>
      <x:c r="B392" s="17" t="str">
        <x:v>Gift Card Scam Warning</x:v>
      </x:c>
      <x:c r="C392" s="17" t="str">
        <x:v>Scam Phishing and Fraud Defense</x:v>
      </x:c>
      <x:c r="D392" s="17" t="str">
        <x:v>Mobile + Web</x:v>
      </x:c>
      <x:c r="E392" s="17" t="str">
        <x:v>Consumers and small businesses</x:v>
      </x:c>
      <x:c r="F392" s="18" t="str">
        <x:v>Gift Card Scam Warning provides a focused scam phishing and fraud defense workflow for consumers and small businesses.</x:v>
      </x:c>
      <x:c r="G392" s="18" t="str">
        <x:v>Content Analysis, Checklists, Evidence, Reporting</x:v>
      </x:c>
      <x:c r="H392" s="17" t="str">
        <x:v>Freemium + Pro</x:v>
      </x:c>
      <x:c r="I392" s="17" t="str">
        <x:v>Medium</x:v>
      </x:c>
      <x:c r="J392" s="17" t="str">
        <x:v>New candidate</x:v>
      </x:c>
      <x:c r="K392" s="17" t="str">
        <x:v>Unreviewed</x:v>
      </x:c>
      <x:c r="L392" s="17"/>
      <x:c r="M392" s="17"/>
      <x:c r="N392" s="17"/>
      <x:c r="O392" s="17"/>
      <x:c r="P392" s="17"/>
      <x:c r="Q392" s="17" t="str">
        <x:f>IF(COUNT(L392:P392)&lt;5,"",ROUND((L392*25+M392*20+N392*20+O392*20+P392*15)/5,1))</x:f>
      </x:c>
      <x:c r="R392" s="18" t="str"/>
      <x:c r="S392" s="18" t="str"/>
      <x:c r="T392" s="17" t="str"/>
      <x:c r="U392" s="19"/>
    </x:row>
    <x:row r="393">
      <x:c r="A393" s="17" t="str">
        <x:v>MTS-0392</x:v>
      </x:c>
      <x:c r="B393" s="17" t="str">
        <x:v>Package Delivery Scam Checker</x:v>
      </x:c>
      <x:c r="C393" s="17" t="str">
        <x:v>Scam Phishing and Fraud Defense</x:v>
      </x:c>
      <x:c r="D393" s="17" t="str">
        <x:v>Mobile + Web</x:v>
      </x:c>
      <x:c r="E393" s="17" t="str">
        <x:v>Consumers and small businesses</x:v>
      </x:c>
      <x:c r="F393" s="18" t="str">
        <x:v>Package Delivery Scam Checker provides a focused scam phishing and fraud defense workflow for consumers and small businesses.</x:v>
      </x:c>
      <x:c r="G393" s="18" t="str">
        <x:v>Content Analysis, Checklists, Evidence, Reporting</x:v>
      </x:c>
      <x:c r="H393" s="17" t="str">
        <x:v>Freemium + Pro</x:v>
      </x:c>
      <x:c r="I393" s="17" t="str">
        <x:v>Medium</x:v>
      </x:c>
      <x:c r="J393" s="17" t="str">
        <x:v>New candidate</x:v>
      </x:c>
      <x:c r="K393" s="17" t="str">
        <x:v>Unreviewed</x:v>
      </x:c>
      <x:c r="L393" s="17"/>
      <x:c r="M393" s="17"/>
      <x:c r="N393" s="17"/>
      <x:c r="O393" s="17"/>
      <x:c r="P393" s="17"/>
      <x:c r="Q393" s="17" t="str">
        <x:f>IF(COUNT(L393:P393)&lt;5,"",ROUND((L393*25+M393*20+N393*20+O393*20+P393*15)/5,1))</x:f>
      </x:c>
      <x:c r="R393" s="18" t="str"/>
      <x:c r="S393" s="18" t="str"/>
      <x:c r="T393" s="17" t="str"/>
      <x:c r="U393" s="19"/>
    </x:row>
    <x:row r="394">
      <x:c r="A394" s="17" t="str">
        <x:v>MTS-0393</x:v>
      </x:c>
      <x:c r="B394" s="17" t="str">
        <x:v>Investment Scam Red Flags</x:v>
      </x:c>
      <x:c r="C394" s="17" t="str">
        <x:v>Scam Phishing and Fraud Defense</x:v>
      </x:c>
      <x:c r="D394" s="17" t="str">
        <x:v>Mobile + Web</x:v>
      </x:c>
      <x:c r="E394" s="17" t="str">
        <x:v>Consumers and small businesses</x:v>
      </x:c>
      <x:c r="F394" s="18" t="str">
        <x:v>Investment Scam Red Flags provides a focused scam phishing and fraud defense workflow for consumers and small businesses.</x:v>
      </x:c>
      <x:c r="G394" s="18" t="str">
        <x:v>Content Analysis, Checklists, Evidence, Reporting</x:v>
      </x:c>
      <x:c r="H394" s="17" t="str">
        <x:v>Freemium + Pro</x:v>
      </x:c>
      <x:c r="I394" s="17" t="str">
        <x:v>Medium</x:v>
      </x:c>
      <x:c r="J394" s="17" t="str">
        <x:v>New candidate</x:v>
      </x:c>
      <x:c r="K394" s="17" t="str">
        <x:v>Unreviewed</x:v>
      </x:c>
      <x:c r="L394" s="17"/>
      <x:c r="M394" s="17"/>
      <x:c r="N394" s="17"/>
      <x:c r="O394" s="17"/>
      <x:c r="P394" s="17"/>
      <x:c r="Q394" s="17" t="str">
        <x:f>IF(COUNT(L394:P394)&lt;5,"",ROUND((L394*25+M394*20+N394*20+O394*20+P394*15)/5,1))</x:f>
      </x:c>
      <x:c r="R394" s="18" t="str"/>
      <x:c r="S394" s="18" t="str"/>
      <x:c r="T394" s="17" t="str"/>
      <x:c r="U394" s="19"/>
    </x:row>
    <x:row r="395">
      <x:c r="A395" s="17" t="str">
        <x:v>MTS-0394</x:v>
      </x:c>
      <x:c r="B395" s="17" t="str">
        <x:v>Impersonation Incident Logger</x:v>
      </x:c>
      <x:c r="C395" s="17" t="str">
        <x:v>Scam Phishing and Fraud Defense</x:v>
      </x:c>
      <x:c r="D395" s="17" t="str">
        <x:v>Mobile + Web</x:v>
      </x:c>
      <x:c r="E395" s="17" t="str">
        <x:v>Consumers and small businesses</x:v>
      </x:c>
      <x:c r="F395" s="18" t="str">
        <x:v>Impersonation Incident Logger provides a focused scam phishing and fraud defense workflow for consumers and small businesses.</x:v>
      </x:c>
      <x:c r="G395" s="18" t="str">
        <x:v>Content Analysis, Checklists, Evidence, Reporting</x:v>
      </x:c>
      <x:c r="H395" s="17" t="str">
        <x:v>Freemium + Pro</x:v>
      </x:c>
      <x:c r="I395" s="17" t="str">
        <x:v>Medium</x:v>
      </x:c>
      <x:c r="J395" s="17" t="str">
        <x:v>New candidate</x:v>
      </x:c>
      <x:c r="K395" s="17" t="str">
        <x:v>Unreviewed</x:v>
      </x:c>
      <x:c r="L395" s="17"/>
      <x:c r="M395" s="17"/>
      <x:c r="N395" s="17"/>
      <x:c r="O395" s="17"/>
      <x:c r="P395" s="17"/>
      <x:c r="Q395" s="17" t="str">
        <x:f>IF(COUNT(L395:P395)&lt;5,"",ROUND((L395*25+M395*20+N395*20+O395*20+P395*15)/5,1))</x:f>
      </x:c>
      <x:c r="R395" s="18" t="str"/>
      <x:c r="S395" s="18" t="str"/>
      <x:c r="T395" s="17" t="str"/>
      <x:c r="U395" s="19"/>
    </x:row>
    <x:row r="396">
      <x:c r="A396" s="17" t="str">
        <x:v>MTS-0395</x:v>
      </x:c>
      <x:c r="B396" s="17" t="str">
        <x:v>Fraud Evidence Collector</x:v>
      </x:c>
      <x:c r="C396" s="17" t="str">
        <x:v>Scam Phishing and Fraud Defense</x:v>
      </x:c>
      <x:c r="D396" s="17" t="str">
        <x:v>Mobile + Web</x:v>
      </x:c>
      <x:c r="E396" s="17" t="str">
        <x:v>Consumers and small businesses</x:v>
      </x:c>
      <x:c r="F396" s="18" t="str">
        <x:v>Fraud Evidence Collector provides a focused scam phishing and fraud defense workflow for consumers and small businesses.</x:v>
      </x:c>
      <x:c r="G396" s="18" t="str">
        <x:v>Content Analysis, Checklists, Evidence, Reporting</x:v>
      </x:c>
      <x:c r="H396" s="17" t="str">
        <x:v>Freemium + Pro</x:v>
      </x:c>
      <x:c r="I396" s="17" t="str">
        <x:v>Medium</x:v>
      </x:c>
      <x:c r="J396" s="17" t="str">
        <x:v>New candidate</x:v>
      </x:c>
      <x:c r="K396" s="17" t="str">
        <x:v>Unreviewed</x:v>
      </x:c>
      <x:c r="L396" s="17"/>
      <x:c r="M396" s="17"/>
      <x:c r="N396" s="17"/>
      <x:c r="O396" s="17"/>
      <x:c r="P396" s="17"/>
      <x:c r="Q396" s="17" t="str">
        <x:f>IF(COUNT(L396:P396)&lt;5,"",ROUND((L396*25+M396*20+N396*20+O396*20+P396*15)/5,1))</x:f>
      </x:c>
      <x:c r="R396" s="18" t="str"/>
      <x:c r="S396" s="18" t="str"/>
      <x:c r="T396" s="17" t="str"/>
      <x:c r="U396" s="19"/>
    </x:row>
    <x:row r="397">
      <x:c r="A397" s="17" t="str">
        <x:v>MTS-0396</x:v>
      </x:c>
      <x:c r="B397" s="17" t="str">
        <x:v>Scam Report Routing Assistant</x:v>
      </x:c>
      <x:c r="C397" s="17" t="str">
        <x:v>Scam Phishing and Fraud Defense</x:v>
      </x:c>
      <x:c r="D397" s="17" t="str">
        <x:v>Mobile + Web</x:v>
      </x:c>
      <x:c r="E397" s="17" t="str">
        <x:v>Consumers and small businesses</x:v>
      </x:c>
      <x:c r="F397" s="18" t="str">
        <x:v>Scam Report Routing Assistant provides a focused scam phishing and fraud defense workflow for consumers and small businesses.</x:v>
      </x:c>
      <x:c r="G397" s="18" t="str">
        <x:v>Content Analysis, Checklists, Evidence, Reporting</x:v>
      </x:c>
      <x:c r="H397" s="17" t="str">
        <x:v>Freemium + Pro</x:v>
      </x:c>
      <x:c r="I397" s="17" t="str">
        <x:v>Medium</x:v>
      </x:c>
      <x:c r="J397" s="17" t="str">
        <x:v>New candidate</x:v>
      </x:c>
      <x:c r="K397" s="17" t="str">
        <x:v>Unreviewed</x:v>
      </x:c>
      <x:c r="L397" s="17"/>
      <x:c r="M397" s="17"/>
      <x:c r="N397" s="17"/>
      <x:c r="O397" s="17"/>
      <x:c r="P397" s="17"/>
      <x:c r="Q397" s="17" t="str">
        <x:f>IF(COUNT(L397:P397)&lt;5,"",ROUND((L397*25+M397*20+N397*20+O397*20+P397*15)/5,1))</x:f>
      </x:c>
      <x:c r="R397" s="18" t="str"/>
      <x:c r="S397" s="18" t="str"/>
      <x:c r="T397" s="17" t="str"/>
      <x:c r="U397" s="19"/>
    </x:row>
    <x:row r="398">
      <x:c r="A398" s="17" t="str">
        <x:v>MTS-0397</x:v>
      </x:c>
      <x:c r="B398" s="17" t="str">
        <x:v>Router Security Checklist</x:v>
      </x:c>
      <x:c r="C398" s="17" t="str">
        <x:v>Home Network Security</x:v>
      </x:c>
      <x:c r="D398" s="17" t="str">
        <x:v>Mobile + Desktop</x:v>
      </x:c>
      <x:c r="E398" s="17" t="str">
        <x:v>Households and remote workers</x:v>
      </x:c>
      <x:c r="F398" s="18" t="str">
        <x:v>Router Security Checklist provides a focused home network security workflow for households and remote workers.</x:v>
      </x:c>
      <x:c r="G398" s="18" t="str">
        <x:v>Network Discovery, Router Audit, Monitoring, Reports</x:v>
      </x:c>
      <x:c r="H398" s="17" t="str">
        <x:v>Freemium + Pro</x:v>
      </x:c>
      <x:c r="I398" s="17" t="str">
        <x:v>Medium</x:v>
      </x:c>
      <x:c r="J398" s="17" t="str">
        <x:v>New candidate</x:v>
      </x:c>
      <x:c r="K398" s="17" t="str">
        <x:v>Unreviewed</x:v>
      </x:c>
      <x:c r="L398" s="17"/>
      <x:c r="M398" s="17"/>
      <x:c r="N398" s="17"/>
      <x:c r="O398" s="17"/>
      <x:c r="P398" s="17"/>
      <x:c r="Q398" s="17" t="str">
        <x:f>IF(COUNT(L398:P398)&lt;5,"",ROUND((L398*25+M398*20+N398*20+O398*20+P398*15)/5,1))</x:f>
      </x:c>
      <x:c r="R398" s="18" t="str"/>
      <x:c r="S398" s="18" t="str"/>
      <x:c r="T398" s="17" t="str"/>
      <x:c r="U398" s="19"/>
    </x:row>
    <x:row r="399">
      <x:c r="A399" s="17" t="str">
        <x:v>MTS-0398</x:v>
      </x:c>
      <x:c r="B399" s="17" t="str">
        <x:v>Guest Network Planner</x:v>
      </x:c>
      <x:c r="C399" s="17" t="str">
        <x:v>Home Network Security</x:v>
      </x:c>
      <x:c r="D399" s="17" t="str">
        <x:v>Mobile + Desktop</x:v>
      </x:c>
      <x:c r="E399" s="17" t="str">
        <x:v>Households and remote workers</x:v>
      </x:c>
      <x:c r="F399" s="18" t="str">
        <x:v>Guest Network Planner provides a focused home network security workflow for households and remote workers.</x:v>
      </x:c>
      <x:c r="G399" s="18" t="str">
        <x:v>Network Discovery, Router Audit, Monitoring, Reports</x:v>
      </x:c>
      <x:c r="H399" s="17" t="str">
        <x:v>Freemium + Pro</x:v>
      </x:c>
      <x:c r="I399" s="17" t="str">
        <x:v>Medium</x:v>
      </x:c>
      <x:c r="J399" s="17" t="str">
        <x:v>New candidate</x:v>
      </x:c>
      <x:c r="K399" s="17" t="str">
        <x:v>Unreviewed</x:v>
      </x:c>
      <x:c r="L399" s="17"/>
      <x:c r="M399" s="17"/>
      <x:c r="N399" s="17"/>
      <x:c r="O399" s="17"/>
      <x:c r="P399" s="17"/>
      <x:c r="Q399" s="17" t="str">
        <x:f>IF(COUNT(L399:P399)&lt;5,"",ROUND((L399*25+M399*20+N399*20+O399*20+P399*15)/5,1))</x:f>
      </x:c>
      <x:c r="R399" s="18" t="str"/>
      <x:c r="S399" s="18" t="str"/>
      <x:c r="T399" s="17" t="str"/>
      <x:c r="U399" s="19"/>
    </x:row>
    <x:row r="400">
      <x:c r="A400" s="17" t="str">
        <x:v>MTS-0399</x:v>
      </x:c>
      <x:c r="B400" s="17" t="str">
        <x:v>WiFi Password Rotation Reminder</x:v>
      </x:c>
      <x:c r="C400" s="17" t="str">
        <x:v>Home Network Security</x:v>
      </x:c>
      <x:c r="D400" s="17" t="str">
        <x:v>Mobile + Desktop</x:v>
      </x:c>
      <x:c r="E400" s="17" t="str">
        <x:v>Households and remote workers</x:v>
      </x:c>
      <x:c r="F400" s="18" t="str">
        <x:v>WiFi Password Rotation Reminder provides a focused home network security workflow for households and remote workers.</x:v>
      </x:c>
      <x:c r="G400" s="18" t="str">
        <x:v>Network Discovery, Router Audit, Monitoring, Reports</x:v>
      </x:c>
      <x:c r="H400" s="17" t="str">
        <x:v>Freemium + Pro</x:v>
      </x:c>
      <x:c r="I400" s="17" t="str">
        <x:v>Medium</x:v>
      </x:c>
      <x:c r="J400" s="17" t="str">
        <x:v>New candidate</x:v>
      </x:c>
      <x:c r="K400" s="17" t="str">
        <x:v>Unreviewed</x:v>
      </x:c>
      <x:c r="L400" s="17"/>
      <x:c r="M400" s="17"/>
      <x:c r="N400" s="17"/>
      <x:c r="O400" s="17"/>
      <x:c r="P400" s="17"/>
      <x:c r="Q400" s="17" t="str">
        <x:f>IF(COUNT(L400:P400)&lt;5,"",ROUND((L400*25+M400*20+N400*20+O400*20+P400*15)/5,1))</x:f>
      </x:c>
      <x:c r="R400" s="18" t="str"/>
      <x:c r="S400" s="18" t="str"/>
      <x:c r="T400" s="17" t="str"/>
      <x:c r="U400" s="19"/>
    </x:row>
    <x:row r="401">
      <x:c r="A401" s="17" t="str">
        <x:v>MTS-0400</x:v>
      </x:c>
      <x:c r="B401" s="17" t="str">
        <x:v>Unknown Device Watchlist</x:v>
      </x:c>
      <x:c r="C401" s="17" t="str">
        <x:v>Home Network Security</x:v>
      </x:c>
      <x:c r="D401" s="17" t="str">
        <x:v>Mobile + Desktop</x:v>
      </x:c>
      <x:c r="E401" s="17" t="str">
        <x:v>Households and remote workers</x:v>
      </x:c>
      <x:c r="F401" s="18" t="str">
        <x:v>Unknown Device Watchlist provides a focused home network security workflow for households and remote workers.</x:v>
      </x:c>
      <x:c r="G401" s="18" t="str">
        <x:v>Network Discovery, Router Audit, Monitoring, Reports</x:v>
      </x:c>
      <x:c r="H401" s="17" t="str">
        <x:v>Freemium + Pro</x:v>
      </x:c>
      <x:c r="I401" s="17" t="str">
        <x:v>Medium</x:v>
      </x:c>
      <x:c r="J401" s="17" t="str">
        <x:v>New candidate</x:v>
      </x:c>
      <x:c r="K401" s="17" t="str">
        <x:v>Unreviewed</x:v>
      </x:c>
      <x:c r="L401" s="17"/>
      <x:c r="M401" s="17"/>
      <x:c r="N401" s="17"/>
      <x:c r="O401" s="17"/>
      <x:c r="P401" s="17"/>
      <x:c r="Q401" s="17" t="str">
        <x:f>IF(COUNT(L401:P401)&lt;5,"",ROUND((L401*25+M401*20+N401*20+O401*20+P401*15)/5,1))</x:f>
      </x:c>
      <x:c r="R401" s="18" t="str"/>
      <x:c r="S401" s="18" t="str"/>
      <x:c r="T401" s="17" t="str"/>
      <x:c r="U401" s="19"/>
    </x:row>
    <x:row r="402">
      <x:c r="A402" s="17" t="str">
        <x:v>MTS-0401</x:v>
      </x:c>
      <x:c r="B402" s="17" t="str">
        <x:v>Port Exposure Explanation</x:v>
      </x:c>
      <x:c r="C402" s="17" t="str">
        <x:v>Home Network Security</x:v>
      </x:c>
      <x:c r="D402" s="17" t="str">
        <x:v>Mobile + Desktop</x:v>
      </x:c>
      <x:c r="E402" s="17" t="str">
        <x:v>Households and remote workers</x:v>
      </x:c>
      <x:c r="F402" s="18" t="str">
        <x:v>Port Exposure Explanation provides a focused home network security workflow for households and remote workers.</x:v>
      </x:c>
      <x:c r="G402" s="18" t="str">
        <x:v>Network Discovery, Router Audit, Monitoring, Reports</x:v>
      </x:c>
      <x:c r="H402" s="17" t="str">
        <x:v>Freemium + Pro</x:v>
      </x:c>
      <x:c r="I402" s="17" t="str">
        <x:v>Medium</x:v>
      </x:c>
      <x:c r="J402" s="17" t="str">
        <x:v>New candidate</x:v>
      </x:c>
      <x:c r="K402" s="17" t="str">
        <x:v>Unreviewed</x:v>
      </x:c>
      <x:c r="L402" s="17"/>
      <x:c r="M402" s="17"/>
      <x:c r="N402" s="17"/>
      <x:c r="O402" s="17"/>
      <x:c r="P402" s="17"/>
      <x:c r="Q402" s="17" t="str">
        <x:f>IF(COUNT(L402:P402)&lt;5,"",ROUND((L402*25+M402*20+N402*20+O402*20+P402*15)/5,1))</x:f>
      </x:c>
      <x:c r="R402" s="18" t="str"/>
      <x:c r="S402" s="18" t="str"/>
      <x:c r="T402" s="17" t="str"/>
      <x:c r="U402" s="19"/>
    </x:row>
    <x:row r="403">
      <x:c r="A403" s="17" t="str">
        <x:v>MTS-0402</x:v>
      </x:c>
      <x:c r="B403" s="17" t="str">
        <x:v>DNS Safety Checker</x:v>
      </x:c>
      <x:c r="C403" s="17" t="str">
        <x:v>Home Network Security</x:v>
      </x:c>
      <x:c r="D403" s="17" t="str">
        <x:v>Mobile + Desktop</x:v>
      </x:c>
      <x:c r="E403" s="17" t="str">
        <x:v>Households and remote workers</x:v>
      </x:c>
      <x:c r="F403" s="18" t="str">
        <x:v>DNS Safety Checker provides a focused home network security workflow for households and remote workers.</x:v>
      </x:c>
      <x:c r="G403" s="18" t="str">
        <x:v>Network Discovery, Router Audit, Monitoring, Reports</x:v>
      </x:c>
      <x:c r="H403" s="17" t="str">
        <x:v>Freemium + Pro</x:v>
      </x:c>
      <x:c r="I403" s="17" t="str">
        <x:v>Medium</x:v>
      </x:c>
      <x:c r="J403" s="17" t="str">
        <x:v>New candidate</x:v>
      </x:c>
      <x:c r="K403" s="17" t="str">
        <x:v>Unreviewed</x:v>
      </x:c>
      <x:c r="L403" s="17"/>
      <x:c r="M403" s="17"/>
      <x:c r="N403" s="17"/>
      <x:c r="O403" s="17"/>
      <x:c r="P403" s="17"/>
      <x:c r="Q403" s="17" t="str">
        <x:f>IF(COUNT(L403:P403)&lt;5,"",ROUND((L403*25+M403*20+N403*20+O403*20+P403*15)/5,1))</x:f>
      </x:c>
      <x:c r="R403" s="18" t="str"/>
      <x:c r="S403" s="18" t="str"/>
      <x:c r="T403" s="17" t="str"/>
      <x:c r="U403" s="19"/>
    </x:row>
    <x:row r="404">
      <x:c r="A404" s="17" t="str">
        <x:v>MTS-0403</x:v>
      </x:c>
      <x:c r="B404" s="17" t="str">
        <x:v>Router Firmware Reminder</x:v>
      </x:c>
      <x:c r="C404" s="17" t="str">
        <x:v>Home Network Security</x:v>
      </x:c>
      <x:c r="D404" s="17" t="str">
        <x:v>Mobile + Desktop</x:v>
      </x:c>
      <x:c r="E404" s="17" t="str">
        <x:v>Households and remote workers</x:v>
      </x:c>
      <x:c r="F404" s="18" t="str">
        <x:v>Router Firmware Reminder provides a focused home network security workflow for households and remote workers.</x:v>
      </x:c>
      <x:c r="G404" s="18" t="str">
        <x:v>Network Discovery, Router Audit, Monitoring, Reports</x:v>
      </x:c>
      <x:c r="H404" s="17" t="str">
        <x:v>Freemium + Pro</x:v>
      </x:c>
      <x:c r="I404" s="17" t="str">
        <x:v>Medium</x:v>
      </x:c>
      <x:c r="J404" s="17" t="str">
        <x:v>New candidate</x:v>
      </x:c>
      <x:c r="K404" s="17" t="str">
        <x:v>Unreviewed</x:v>
      </x:c>
      <x:c r="L404" s="17"/>
      <x:c r="M404" s="17"/>
      <x:c r="N404" s="17"/>
      <x:c r="O404" s="17"/>
      <x:c r="P404" s="17"/>
      <x:c r="Q404" s="17" t="str">
        <x:f>IF(COUNT(L404:P404)&lt;5,"",ROUND((L404*25+M404*20+N404*20+O404*20+P404*15)/5,1))</x:f>
      </x:c>
      <x:c r="R404" s="18" t="str"/>
      <x:c r="S404" s="18" t="str"/>
      <x:c r="T404" s="17" t="str"/>
      <x:c r="U404" s="19"/>
    </x:row>
    <x:row r="405">
      <x:c r="A405" s="17" t="str">
        <x:v>MTS-0404</x:v>
      </x:c>
      <x:c r="B405" s="17" t="str">
        <x:v>Home Network Inventory</x:v>
      </x:c>
      <x:c r="C405" s="17" t="str">
        <x:v>Home Network Security</x:v>
      </x:c>
      <x:c r="D405" s="17" t="str">
        <x:v>Mobile + Desktop</x:v>
      </x:c>
      <x:c r="E405" s="17" t="str">
        <x:v>Households and remote workers</x:v>
      </x:c>
      <x:c r="F405" s="18" t="str">
        <x:v>Home Network Inventory provides a focused home network security workflow for households and remote workers.</x:v>
      </x:c>
      <x:c r="G405" s="18" t="str">
        <x:v>Network Discovery, Router Audit, Monitoring, Reports</x:v>
      </x:c>
      <x:c r="H405" s="17" t="str">
        <x:v>Freemium + Pro</x:v>
      </x:c>
      <x:c r="I405" s="17" t="str">
        <x:v>Medium</x:v>
      </x:c>
      <x:c r="J405" s="17" t="str">
        <x:v>New candidate</x:v>
      </x:c>
      <x:c r="K405" s="17" t="str">
        <x:v>Unreviewed</x:v>
      </x:c>
      <x:c r="L405" s="17"/>
      <x:c r="M405" s="17"/>
      <x:c r="N405" s="17"/>
      <x:c r="O405" s="17"/>
      <x:c r="P405" s="17"/>
      <x:c r="Q405" s="17" t="str">
        <x:f>IF(COUNT(L405:P405)&lt;5,"",ROUND((L405*25+M405*20+N405*20+O405*20+P405*15)/5,1))</x:f>
      </x:c>
      <x:c r="R405" s="18" t="str"/>
      <x:c r="S405" s="18" t="str"/>
      <x:c r="T405" s="17" t="str"/>
      <x:c r="U405" s="19"/>
    </x:row>
    <x:row r="406">
      <x:c r="A406" s="17" t="str">
        <x:v>MTS-0405</x:v>
      </x:c>
      <x:c r="B406" s="17" t="str">
        <x:v>Smart Device Network Map</x:v>
      </x:c>
      <x:c r="C406" s="17" t="str">
        <x:v>Home Network Security</x:v>
      </x:c>
      <x:c r="D406" s="17" t="str">
        <x:v>Mobile + Desktop</x:v>
      </x:c>
      <x:c r="E406" s="17" t="str">
        <x:v>Households and remote workers</x:v>
      </x:c>
      <x:c r="F406" s="18" t="str">
        <x:v>Smart Device Network Map provides a focused home network security workflow for households and remote workers.</x:v>
      </x:c>
      <x:c r="G406" s="18" t="str">
        <x:v>Network Discovery, Router Audit, Monitoring, Reports</x:v>
      </x:c>
      <x:c r="H406" s="17" t="str">
        <x:v>Freemium + Pro</x:v>
      </x:c>
      <x:c r="I406" s="17" t="str">
        <x:v>Medium</x:v>
      </x:c>
      <x:c r="J406" s="17" t="str">
        <x:v>New candidate</x:v>
      </x:c>
      <x:c r="K406" s="17" t="str">
        <x:v>Unreviewed</x:v>
      </x:c>
      <x:c r="L406" s="17"/>
      <x:c r="M406" s="17"/>
      <x:c r="N406" s="17"/>
      <x:c r="O406" s="17"/>
      <x:c r="P406" s="17"/>
      <x:c r="Q406" s="17" t="str">
        <x:f>IF(COUNT(L406:P406)&lt;5,"",ROUND((L406*25+M406*20+N406*20+O406*20+P406*15)/5,1))</x:f>
      </x:c>
      <x:c r="R406" s="18" t="str"/>
      <x:c r="S406" s="18" t="str"/>
      <x:c r="T406" s="17" t="str"/>
      <x:c r="U406" s="19"/>
    </x:row>
    <x:row r="407">
      <x:c r="A407" s="17" t="str">
        <x:v>MTS-0406</x:v>
      </x:c>
      <x:c r="B407" s="17" t="str">
        <x:v>Bandwidth Anomaly Journal</x:v>
      </x:c>
      <x:c r="C407" s="17" t="str">
        <x:v>Home Network Security</x:v>
      </x:c>
      <x:c r="D407" s="17" t="str">
        <x:v>Mobile + Desktop</x:v>
      </x:c>
      <x:c r="E407" s="17" t="str">
        <x:v>Households and remote workers</x:v>
      </x:c>
      <x:c r="F407" s="18" t="str">
        <x:v>Bandwidth Anomaly Journal provides a focused home network security workflow for households and remote workers.</x:v>
      </x:c>
      <x:c r="G407" s="18" t="str">
        <x:v>Network Discovery, Router Audit, Monitoring, Reports</x:v>
      </x:c>
      <x:c r="H407" s="17" t="str">
        <x:v>Freemium + Pro</x:v>
      </x:c>
      <x:c r="I407" s="17" t="str">
        <x:v>Medium</x:v>
      </x:c>
      <x:c r="J407" s="17" t="str">
        <x:v>New candidate</x:v>
      </x:c>
      <x:c r="K407" s="17" t="str">
        <x:v>Unreviewed</x:v>
      </x:c>
      <x:c r="L407" s="17"/>
      <x:c r="M407" s="17"/>
      <x:c r="N407" s="17"/>
      <x:c r="O407" s="17"/>
      <x:c r="P407" s="17"/>
      <x:c r="Q407" s="17" t="str">
        <x:f>IF(COUNT(L407:P407)&lt;5,"",ROUND((L407*25+M407*20+N407*20+O407*20+P407*15)/5,1))</x:f>
      </x:c>
      <x:c r="R407" s="18" t="str"/>
      <x:c r="S407" s="18" t="str"/>
      <x:c r="T407" s="17" t="str"/>
      <x:c r="U407" s="19"/>
    </x:row>
    <x:row r="408">
      <x:c r="A408" s="17" t="str">
        <x:v>MTS-0407</x:v>
      </x:c>
      <x:c r="B408" s="17" t="str">
        <x:v>Network Outage Evidence</x:v>
      </x:c>
      <x:c r="C408" s="17" t="str">
        <x:v>Home Network Security</x:v>
      </x:c>
      <x:c r="D408" s="17" t="str">
        <x:v>Mobile + Desktop</x:v>
      </x:c>
      <x:c r="E408" s="17" t="str">
        <x:v>Households and remote workers</x:v>
      </x:c>
      <x:c r="F408" s="18" t="str">
        <x:v>Network Outage Evidence provides a focused home network security workflow for households and remote workers.</x:v>
      </x:c>
      <x:c r="G408" s="18" t="str">
        <x:v>Network Discovery, Router Audit, Monitoring, Reports</x:v>
      </x:c>
      <x:c r="H408" s="17" t="str">
        <x:v>Freemium + Pro</x:v>
      </x:c>
      <x:c r="I408" s="17" t="str">
        <x:v>Medium</x:v>
      </x:c>
      <x:c r="J408" s="17" t="str">
        <x:v>New candidate</x:v>
      </x:c>
      <x:c r="K408" s="17" t="str">
        <x:v>Unreviewed</x:v>
      </x:c>
      <x:c r="L408" s="17"/>
      <x:c r="M408" s="17"/>
      <x:c r="N408" s="17"/>
      <x:c r="O408" s="17"/>
      <x:c r="P408" s="17"/>
      <x:c r="Q408" s="17" t="str">
        <x:f>IF(COUNT(L408:P408)&lt;5,"",ROUND((L408*25+M408*20+N408*20+O408*20+P408*15)/5,1))</x:f>
      </x:c>
      <x:c r="R408" s="18" t="str"/>
      <x:c r="S408" s="18" t="str"/>
      <x:c r="T408" s="17" t="str"/>
      <x:c r="U408" s="19"/>
    </x:row>
    <x:row r="409">
      <x:c r="A409" s="17" t="str">
        <x:v>MTS-0408</x:v>
      </x:c>
      <x:c r="B409" s="17" t="str">
        <x:v>Home Network Security Report</x:v>
      </x:c>
      <x:c r="C409" s="17" t="str">
        <x:v>Home Network Security</x:v>
      </x:c>
      <x:c r="D409" s="17" t="str">
        <x:v>Mobile + Desktop</x:v>
      </x:c>
      <x:c r="E409" s="17" t="str">
        <x:v>Households and remote workers</x:v>
      </x:c>
      <x:c r="F409" s="18" t="str">
        <x:v>Home Network Security Report provides a focused home network security workflow for households and remote workers.</x:v>
      </x:c>
      <x:c r="G409" s="18" t="str">
        <x:v>Network Discovery, Router Audit, Monitoring, Reports</x:v>
      </x:c>
      <x:c r="H409" s="17" t="str">
        <x:v>Freemium + Pro</x:v>
      </x:c>
      <x:c r="I409" s="17" t="str">
        <x:v>Medium</x:v>
      </x:c>
      <x:c r="J409" s="17" t="str">
        <x:v>New candidate</x:v>
      </x:c>
      <x:c r="K409" s="17" t="str">
        <x:v>Unreviewed</x:v>
      </x:c>
      <x:c r="L409" s="17"/>
      <x:c r="M409" s="17"/>
      <x:c r="N409" s="17"/>
      <x:c r="O409" s="17"/>
      <x:c r="P409" s="17"/>
      <x:c r="Q409" s="17" t="str">
        <x:f>IF(COUNT(L409:P409)&lt;5,"",ROUND((L409*25+M409*20+N409*20+O409*20+P409*15)/5,1))</x:f>
      </x:c>
      <x:c r="R409" s="18" t="str"/>
      <x:c r="S409" s="18" t="str"/>
      <x:c r="T409" s="17" t="str"/>
      <x:c r="U409" s="19"/>
    </x:row>
    <x:row r="410">
      <x:c r="A410" s="17" t="str">
        <x:v>MTS-0409</x:v>
      </x:c>
      <x:c r="B410" s="17" t="str">
        <x:v>Child Device Setup Checklist</x:v>
      </x:c>
      <x:c r="C410" s="17" t="str">
        <x:v>Family and Child Online Safety</x:v>
      </x:c>
      <x:c r="D410" s="17" t="str">
        <x:v>Mobile + Web</x:v>
      </x:c>
      <x:c r="E410" s="17" t="str">
        <x:v>Parents and guardians</x:v>
      </x:c>
      <x:c r="F410" s="18" t="str">
        <x:v>Child Device Setup Checklist provides a focused family and child online safety workflow for parents and guardians.</x:v>
      </x:c>
      <x:c r="G410" s="18" t="str">
        <x:v>Profiles, Safety Plans, Evidence, Reminders</x:v>
      </x:c>
      <x:c r="H410" s="17" t="str">
        <x:v>Freemium + Pro</x:v>
      </x:c>
      <x:c r="I410" s="17" t="str">
        <x:v>Medium</x:v>
      </x:c>
      <x:c r="J410" s="17" t="str">
        <x:v>New candidate</x:v>
      </x:c>
      <x:c r="K410" s="17" t="str">
        <x:v>Unreviewed</x:v>
      </x:c>
      <x:c r="L410" s="17"/>
      <x:c r="M410" s="17"/>
      <x:c r="N410" s="17"/>
      <x:c r="O410" s="17"/>
      <x:c r="P410" s="17"/>
      <x:c r="Q410" s="17" t="str">
        <x:f>IF(COUNT(L410:P410)&lt;5,"",ROUND((L410*25+M410*20+N410*20+O410*20+P410*15)/5,1))</x:f>
      </x:c>
      <x:c r="R410" s="18" t="str"/>
      <x:c r="S410" s="18" t="str"/>
      <x:c r="T410" s="17" t="str"/>
      <x:c r="U410" s="19"/>
    </x:row>
    <x:row r="411">
      <x:c r="A411" s="17" t="str">
        <x:v>MTS-0410</x:v>
      </x:c>
      <x:c r="B411" s="17" t="str">
        <x:v>Family Screen Privacy Plan</x:v>
      </x:c>
      <x:c r="C411" s="17" t="str">
        <x:v>Family and Child Online Safety</x:v>
      </x:c>
      <x:c r="D411" s="17" t="str">
        <x:v>Mobile + Web</x:v>
      </x:c>
      <x:c r="E411" s="17" t="str">
        <x:v>Parents and guardians</x:v>
      </x:c>
      <x:c r="F411" s="18" t="str">
        <x:v>Family Screen Privacy Plan provides a focused family and child online safety workflow for parents and guardians.</x:v>
      </x:c>
      <x:c r="G411" s="18" t="str">
        <x:v>Profiles, Safety Plans, Evidence, Reminders</x:v>
      </x:c>
      <x:c r="H411" s="17" t="str">
        <x:v>Freemium + Pro</x:v>
      </x:c>
      <x:c r="I411" s="17" t="str">
        <x:v>Medium</x:v>
      </x:c>
      <x:c r="J411" s="17" t="str">
        <x:v>New candidate</x:v>
      </x:c>
      <x:c r="K411" s="17" t="str">
        <x:v>Unreviewed</x:v>
      </x:c>
      <x:c r="L411" s="17"/>
      <x:c r="M411" s="17"/>
      <x:c r="N411" s="17"/>
      <x:c r="O411" s="17"/>
      <x:c r="P411" s="17"/>
      <x:c r="Q411" s="17" t="str">
        <x:f>IF(COUNT(L411:P411)&lt;5,"",ROUND((L411*25+M411*20+N411*20+O411*20+P411*15)/5,1))</x:f>
      </x:c>
      <x:c r="R411" s="18" t="str"/>
      <x:c r="S411" s="18" t="str"/>
      <x:c r="T411" s="17" t="str"/>
      <x:c r="U411" s="19"/>
    </x:row>
    <x:row r="412">
      <x:c r="A412" s="17" t="str">
        <x:v>MTS-0411</x:v>
      </x:c>
      <x:c r="B412" s="17" t="str">
        <x:v>Parental Control Configuration Tracker</x:v>
      </x:c>
      <x:c r="C412" s="17" t="str">
        <x:v>Family and Child Online Safety</x:v>
      </x:c>
      <x:c r="D412" s="17" t="str">
        <x:v>Mobile + Web</x:v>
      </x:c>
      <x:c r="E412" s="17" t="str">
        <x:v>Parents and guardians</x:v>
      </x:c>
      <x:c r="F412" s="18" t="str">
        <x:v>Parental Control Configuration Tracker provides a focused family and child online safety workflow for parents and guardians.</x:v>
      </x:c>
      <x:c r="G412" s="18" t="str">
        <x:v>Profiles, Safety Plans, Evidence, Reminders</x:v>
      </x:c>
      <x:c r="H412" s="17" t="str">
        <x:v>Freemium + Pro</x:v>
      </x:c>
      <x:c r="I412" s="17" t="str">
        <x:v>Medium</x:v>
      </x:c>
      <x:c r="J412" s="17" t="str">
        <x:v>New candidate</x:v>
      </x:c>
      <x:c r="K412" s="17" t="str">
        <x:v>Unreviewed</x:v>
      </x:c>
      <x:c r="L412" s="17"/>
      <x:c r="M412" s="17"/>
      <x:c r="N412" s="17"/>
      <x:c r="O412" s="17"/>
      <x:c r="P412" s="17"/>
      <x:c r="Q412" s="17" t="str">
        <x:f>IF(COUNT(L412:P412)&lt;5,"",ROUND((L412*25+M412*20+N412*20+O412*20+P412*15)/5,1))</x:f>
      </x:c>
      <x:c r="R412" s="18" t="str"/>
      <x:c r="S412" s="18" t="str"/>
      <x:c r="T412" s="17" t="str"/>
      <x:c r="U412" s="19"/>
    </x:row>
    <x:row r="413">
      <x:c r="A413" s="17" t="str">
        <x:v>MTS-0412</x:v>
      </x:c>
      <x:c r="B413" s="17" t="str">
        <x:v>Child Account Privacy Audit</x:v>
      </x:c>
      <x:c r="C413" s="17" t="str">
        <x:v>Family and Child Online Safety</x:v>
      </x:c>
      <x:c r="D413" s="17" t="str">
        <x:v>Mobile + Web</x:v>
      </x:c>
      <x:c r="E413" s="17" t="str">
        <x:v>Parents and guardians</x:v>
      </x:c>
      <x:c r="F413" s="18" t="str">
        <x:v>Child Account Privacy Audit provides a focused family and child online safety workflow for parents and guardians.</x:v>
      </x:c>
      <x:c r="G413" s="18" t="str">
        <x:v>Profiles, Safety Plans, Evidence, Reminders</x:v>
      </x:c>
      <x:c r="H413" s="17" t="str">
        <x:v>Freemium + Pro</x:v>
      </x:c>
      <x:c r="I413" s="17" t="str">
        <x:v>Medium</x:v>
      </x:c>
      <x:c r="J413" s="17" t="str">
        <x:v>New candidate</x:v>
      </x:c>
      <x:c r="K413" s="17" t="str">
        <x:v>Unreviewed</x:v>
      </x:c>
      <x:c r="L413" s="17"/>
      <x:c r="M413" s="17"/>
      <x:c r="N413" s="17"/>
      <x:c r="O413" s="17"/>
      <x:c r="P413" s="17"/>
      <x:c r="Q413" s="17" t="str">
        <x:f>IF(COUNT(L413:P413)&lt;5,"",ROUND((L413*25+M413*20+N413*20+O413*20+P413*15)/5,1))</x:f>
      </x:c>
      <x:c r="R413" s="18" t="str"/>
      <x:c r="S413" s="18" t="str"/>
      <x:c r="T413" s="17" t="str"/>
      <x:c r="U413" s="19"/>
    </x:row>
    <x:row r="414">
      <x:c r="A414" s="17" t="str">
        <x:v>MTS-0413</x:v>
      </x:c>
      <x:c r="B414" s="17" t="str">
        <x:v>Game Chat Safety Guide</x:v>
      </x:c>
      <x:c r="C414" s="17" t="str">
        <x:v>Family and Child Online Safety</x:v>
      </x:c>
      <x:c r="D414" s="17" t="str">
        <x:v>Mobile + Web</x:v>
      </x:c>
      <x:c r="E414" s="17" t="str">
        <x:v>Parents and guardians</x:v>
      </x:c>
      <x:c r="F414" s="18" t="str">
        <x:v>Game Chat Safety Guide provides a focused family and child online safety workflow for parents and guardians.</x:v>
      </x:c>
      <x:c r="G414" s="18" t="str">
        <x:v>Profiles, Safety Plans, Evidence, Reminders</x:v>
      </x:c>
      <x:c r="H414" s="17" t="str">
        <x:v>Freemium + Pro</x:v>
      </x:c>
      <x:c r="I414" s="17" t="str">
        <x:v>Medium</x:v>
      </x:c>
      <x:c r="J414" s="17" t="str">
        <x:v>New candidate</x:v>
      </x:c>
      <x:c r="K414" s="17" t="str">
        <x:v>Unreviewed</x:v>
      </x:c>
      <x:c r="L414" s="17"/>
      <x:c r="M414" s="17"/>
      <x:c r="N414" s="17"/>
      <x:c r="O414" s="17"/>
      <x:c r="P414" s="17"/>
      <x:c r="Q414" s="17" t="str">
        <x:f>IF(COUNT(L414:P414)&lt;5,"",ROUND((L414*25+M414*20+N414*20+O414*20+P414*15)/5,1))</x:f>
      </x:c>
      <x:c r="R414" s="18" t="str"/>
      <x:c r="S414" s="18" t="str"/>
      <x:c r="T414" s="17" t="str"/>
      <x:c r="U414" s="19"/>
    </x:row>
    <x:row r="415">
      <x:c r="A415" s="17" t="str">
        <x:v>MTS-0414</x:v>
      </x:c>
      <x:c r="B415" s="17" t="str">
        <x:v>Social Media Safety Agreement</x:v>
      </x:c>
      <x:c r="C415" s="17" t="str">
        <x:v>Family and Child Online Safety</x:v>
      </x:c>
      <x:c r="D415" s="17" t="str">
        <x:v>Mobile + Web</x:v>
      </x:c>
      <x:c r="E415" s="17" t="str">
        <x:v>Parents and guardians</x:v>
      </x:c>
      <x:c r="F415" s="18" t="str">
        <x:v>Social Media Safety Agreement provides a focused family and child online safety workflow for parents and guardians.</x:v>
      </x:c>
      <x:c r="G415" s="18" t="str">
        <x:v>Profiles, Safety Plans, Evidence, Reminders</x:v>
      </x:c>
      <x:c r="H415" s="17" t="str">
        <x:v>Freemium + Pro</x:v>
      </x:c>
      <x:c r="I415" s="17" t="str">
        <x:v>Medium</x:v>
      </x:c>
      <x:c r="J415" s="17" t="str">
        <x:v>New candidate</x:v>
      </x:c>
      <x:c r="K415" s="17" t="str">
        <x:v>Unreviewed</x:v>
      </x:c>
      <x:c r="L415" s="17"/>
      <x:c r="M415" s="17"/>
      <x:c r="N415" s="17"/>
      <x:c r="O415" s="17"/>
      <x:c r="P415" s="17"/>
      <x:c r="Q415" s="17" t="str">
        <x:f>IF(COUNT(L415:P415)&lt;5,"",ROUND((L415*25+M415*20+N415*20+O415*20+P415*15)/5,1))</x:f>
      </x:c>
      <x:c r="R415" s="18" t="str"/>
      <x:c r="S415" s="18" t="str"/>
      <x:c r="T415" s="17" t="str"/>
      <x:c r="U415" s="19"/>
    </x:row>
    <x:row r="416">
      <x:c r="A416" s="17" t="str">
        <x:v>MTS-0415</x:v>
      </x:c>
      <x:c r="B416" s="17" t="str">
        <x:v>Cyberbullying Evidence Locker</x:v>
      </x:c>
      <x:c r="C416" s="17" t="str">
        <x:v>Family and Child Online Safety</x:v>
      </x:c>
      <x:c r="D416" s="17" t="str">
        <x:v>Mobile + Web</x:v>
      </x:c>
      <x:c r="E416" s="17" t="str">
        <x:v>Parents and guardians</x:v>
      </x:c>
      <x:c r="F416" s="18" t="str">
        <x:v>Cyberbullying Evidence Locker provides a focused family and child online safety workflow for parents and guardians.</x:v>
      </x:c>
      <x:c r="G416" s="18" t="str">
        <x:v>Profiles, Safety Plans, Evidence, Reminders</x:v>
      </x:c>
      <x:c r="H416" s="17" t="str">
        <x:v>Freemium + Pro</x:v>
      </x:c>
      <x:c r="I416" s="17" t="str">
        <x:v>Medium</x:v>
      </x:c>
      <x:c r="J416" s="17" t="str">
        <x:v>New candidate</x:v>
      </x:c>
      <x:c r="K416" s="17" t="str">
        <x:v>Unreviewed</x:v>
      </x:c>
      <x:c r="L416" s="17"/>
      <x:c r="M416" s="17"/>
      <x:c r="N416" s="17"/>
      <x:c r="O416" s="17"/>
      <x:c r="P416" s="17"/>
      <x:c r="Q416" s="17" t="str">
        <x:f>IF(COUNT(L416:P416)&lt;5,"",ROUND((L416*25+M416*20+N416*20+O416*20+P416*15)/5,1))</x:f>
      </x:c>
      <x:c r="R416" s="18" t="str"/>
      <x:c r="S416" s="18" t="str"/>
      <x:c r="T416" s="17" t="str"/>
      <x:c r="U416" s="19"/>
    </x:row>
    <x:row r="417">
      <x:c r="A417" s="17" t="str">
        <x:v>MTS-0416</x:v>
      </x:c>
      <x:c r="B417" s="17" t="str">
        <x:v>In-App Purchase Safety Check</x:v>
      </x:c>
      <x:c r="C417" s="17" t="str">
        <x:v>Family and Child Online Safety</x:v>
      </x:c>
      <x:c r="D417" s="17" t="str">
        <x:v>Mobile + Web</x:v>
      </x:c>
      <x:c r="E417" s="17" t="str">
        <x:v>Parents and guardians</x:v>
      </x:c>
      <x:c r="F417" s="18" t="str">
        <x:v>In-App Purchase Safety Check provides a focused family and child online safety workflow for parents and guardians.</x:v>
      </x:c>
      <x:c r="G417" s="18" t="str">
        <x:v>Profiles, Safety Plans, Evidence, Reminders</x:v>
      </x:c>
      <x:c r="H417" s="17" t="str">
        <x:v>Freemium + Pro</x:v>
      </x:c>
      <x:c r="I417" s="17" t="str">
        <x:v>Medium</x:v>
      </x:c>
      <x:c r="J417" s="17" t="str">
        <x:v>New candidate</x:v>
      </x:c>
      <x:c r="K417" s="17" t="str">
        <x:v>Unreviewed</x:v>
      </x:c>
      <x:c r="L417" s="17"/>
      <x:c r="M417" s="17"/>
      <x:c r="N417" s="17"/>
      <x:c r="O417" s="17"/>
      <x:c r="P417" s="17"/>
      <x:c r="Q417" s="17" t="str">
        <x:f>IF(COUNT(L417:P417)&lt;5,"",ROUND((L417*25+M417*20+N417*20+O417*20+P417*15)/5,1))</x:f>
      </x:c>
      <x:c r="R417" s="18" t="str"/>
      <x:c r="S417" s="18" t="str"/>
      <x:c r="T417" s="17" t="str"/>
      <x:c r="U417" s="19"/>
    </x:row>
    <x:row r="418">
      <x:c r="A418" s="17" t="str">
        <x:v>MTS-0417</x:v>
      </x:c>
      <x:c r="B418" s="17" t="str">
        <x:v>Family Password Habit Tracker</x:v>
      </x:c>
      <x:c r="C418" s="17" t="str">
        <x:v>Family and Child Online Safety</x:v>
      </x:c>
      <x:c r="D418" s="17" t="str">
        <x:v>Mobile + Web</x:v>
      </x:c>
      <x:c r="E418" s="17" t="str">
        <x:v>Parents and guardians</x:v>
      </x:c>
      <x:c r="F418" s="18" t="str">
        <x:v>Family Password Habit Tracker provides a focused family and child online safety workflow for parents and guardians.</x:v>
      </x:c>
      <x:c r="G418" s="18" t="str">
        <x:v>Profiles, Safety Plans, Evidence, Reminders</x:v>
      </x:c>
      <x:c r="H418" s="17" t="str">
        <x:v>Freemium + Pro</x:v>
      </x:c>
      <x:c r="I418" s="17" t="str">
        <x:v>Medium</x:v>
      </x:c>
      <x:c r="J418" s="17" t="str">
        <x:v>New candidate</x:v>
      </x:c>
      <x:c r="K418" s="17" t="str">
        <x:v>Unreviewed</x:v>
      </x:c>
      <x:c r="L418" s="17"/>
      <x:c r="M418" s="17"/>
      <x:c r="N418" s="17"/>
      <x:c r="O418" s="17"/>
      <x:c r="P418" s="17"/>
      <x:c r="Q418" s="17" t="str">
        <x:f>IF(COUNT(L418:P418)&lt;5,"",ROUND((L418*25+M418*20+N418*20+O418*20+P418*15)/5,1))</x:f>
      </x:c>
      <x:c r="R418" s="18" t="str"/>
      <x:c r="S418" s="18" t="str"/>
      <x:c r="T418" s="17" t="str"/>
      <x:c r="U418" s="19"/>
    </x:row>
    <x:row r="419">
      <x:c r="A419" s="17" t="str">
        <x:v>MTS-0418</x:v>
      </x:c>
      <x:c r="B419" s="17" t="str">
        <x:v>Safe Browsing Allowlist Manager</x:v>
      </x:c>
      <x:c r="C419" s="17" t="str">
        <x:v>Family and Child Online Safety</x:v>
      </x:c>
      <x:c r="D419" s="17" t="str">
        <x:v>Mobile + Web</x:v>
      </x:c>
      <x:c r="E419" s="17" t="str">
        <x:v>Parents and guardians</x:v>
      </x:c>
      <x:c r="F419" s="18" t="str">
        <x:v>Safe Browsing Allowlist Manager provides a focused family and child online safety workflow for parents and guardians.</x:v>
      </x:c>
      <x:c r="G419" s="18" t="str">
        <x:v>Profiles, Safety Plans, Evidence, Reminders</x:v>
      </x:c>
      <x:c r="H419" s="17" t="str">
        <x:v>Freemium + Pro</x:v>
      </x:c>
      <x:c r="I419" s="17" t="str">
        <x:v>Medium</x:v>
      </x:c>
      <x:c r="J419" s="17" t="str">
        <x:v>New candidate</x:v>
      </x:c>
      <x:c r="K419" s="17" t="str">
        <x:v>Unreviewed</x:v>
      </x:c>
      <x:c r="L419" s="17"/>
      <x:c r="M419" s="17"/>
      <x:c r="N419" s="17"/>
      <x:c r="O419" s="17"/>
      <x:c r="P419" s="17"/>
      <x:c r="Q419" s="17" t="str">
        <x:f>IF(COUNT(L419:P419)&lt;5,"",ROUND((L419*25+M419*20+N419*20+O419*20+P419*15)/5,1))</x:f>
      </x:c>
      <x:c r="R419" s="18" t="str"/>
      <x:c r="S419" s="18" t="str"/>
      <x:c r="T419" s="17" t="str"/>
      <x:c r="U419" s="19"/>
    </x:row>
    <x:row r="420">
      <x:c r="A420" s="17" t="str">
        <x:v>MTS-0419</x:v>
      </x:c>
      <x:c r="B420" s="17" t="str">
        <x:v>School Device Security Checklist</x:v>
      </x:c>
      <x:c r="C420" s="17" t="str">
        <x:v>Family and Child Online Safety</x:v>
      </x:c>
      <x:c r="D420" s="17" t="str">
        <x:v>Mobile + Web</x:v>
      </x:c>
      <x:c r="E420" s="17" t="str">
        <x:v>Parents and guardians</x:v>
      </x:c>
      <x:c r="F420" s="18" t="str">
        <x:v>School Device Security Checklist provides a focused family and child online safety workflow for parents and guardians.</x:v>
      </x:c>
      <x:c r="G420" s="18" t="str">
        <x:v>Profiles, Safety Plans, Evidence, Reminders</x:v>
      </x:c>
      <x:c r="H420" s="17" t="str">
        <x:v>Freemium + Pro</x:v>
      </x:c>
      <x:c r="I420" s="17" t="str">
        <x:v>Medium</x:v>
      </x:c>
      <x:c r="J420" s="17" t="str">
        <x:v>New candidate</x:v>
      </x:c>
      <x:c r="K420" s="17" t="str">
        <x:v>Unreviewed</x:v>
      </x:c>
      <x:c r="L420" s="17"/>
      <x:c r="M420" s="17"/>
      <x:c r="N420" s="17"/>
      <x:c r="O420" s="17"/>
      <x:c r="P420" s="17"/>
      <x:c r="Q420" s="17" t="str">
        <x:f>IF(COUNT(L420:P420)&lt;5,"",ROUND((L420*25+M420*20+N420*20+O420*20+P420*15)/5,1))</x:f>
      </x:c>
      <x:c r="R420" s="18" t="str"/>
      <x:c r="S420" s="18" t="str"/>
      <x:c r="T420" s="17" t="str"/>
      <x:c r="U420" s="19"/>
    </x:row>
    <x:row r="421">
      <x:c r="A421" s="17" t="str">
        <x:v>MTS-0420</x:v>
      </x:c>
      <x:c r="B421" s="17" t="str">
        <x:v>Family Emergency Account Plan</x:v>
      </x:c>
      <x:c r="C421" s="17" t="str">
        <x:v>Family and Child Online Safety</x:v>
      </x:c>
      <x:c r="D421" s="17" t="str">
        <x:v>Mobile + Web</x:v>
      </x:c>
      <x:c r="E421" s="17" t="str">
        <x:v>Parents and guardians</x:v>
      </x:c>
      <x:c r="F421" s="18" t="str">
        <x:v>Family Emergency Account Plan provides a focused family and child online safety workflow for parents and guardians.</x:v>
      </x:c>
      <x:c r="G421" s="18" t="str">
        <x:v>Profiles, Safety Plans, Evidence, Reminders</x:v>
      </x:c>
      <x:c r="H421" s="17" t="str">
        <x:v>Freemium + Pro</x:v>
      </x:c>
      <x:c r="I421" s="17" t="str">
        <x:v>Medium</x:v>
      </x:c>
      <x:c r="J421" s="17" t="str">
        <x:v>New candidate</x:v>
      </x:c>
      <x:c r="K421" s="17" t="str">
        <x:v>Unreviewed</x:v>
      </x:c>
      <x:c r="L421" s="17"/>
      <x:c r="M421" s="17"/>
      <x:c r="N421" s="17"/>
      <x:c r="O421" s="17"/>
      <x:c r="P421" s="17"/>
      <x:c r="Q421" s="17" t="str">
        <x:f>IF(COUNT(L421:P421)&lt;5,"",ROUND((L421*25+M421*20+N421*20+O421*20+P421*15)/5,1))</x:f>
      </x:c>
      <x:c r="R421" s="18" t="str"/>
      <x:c r="S421" s="18" t="str"/>
      <x:c r="T421" s="17" t="str"/>
      <x:c r="U421" s="19"/>
    </x:row>
    <x:row r="422">
      <x:c r="A422" s="17" t="str">
        <x:v>MTS-0421</x:v>
      </x:c>
      <x:c r="B422" s="17" t="str">
        <x:v>Senior Scam Call Guide</x:v>
      </x:c>
      <x:c r="C422" s="17" t="str">
        <x:v>Senior Digital Safety</x:v>
      </x:c>
      <x:c r="D422" s="17" t="str">
        <x:v>Mobile + Web</x:v>
      </x:c>
      <x:c r="E422" s="17" t="str">
        <x:v>Older adults and caregivers</x:v>
      </x:c>
      <x:c r="F422" s="18" t="str">
        <x:v>Senior Scam Call Guide provides a focused senior digital safety workflow for older adults and caregivers.</x:v>
      </x:c>
      <x:c r="G422" s="18" t="str">
        <x:v>Guided Setup, Scam Safety, Recovery, Reports</x:v>
      </x:c>
      <x:c r="H422" s="17" t="str">
        <x:v>Freemium + Pro</x:v>
      </x:c>
      <x:c r="I422" s="17" t="str">
        <x:v>Small</x:v>
      </x:c>
      <x:c r="J422" s="17" t="str">
        <x:v>New candidate</x:v>
      </x:c>
      <x:c r="K422" s="17" t="str">
        <x:v>Unreviewed</x:v>
      </x:c>
      <x:c r="L422" s="17"/>
      <x:c r="M422" s="17"/>
      <x:c r="N422" s="17"/>
      <x:c r="O422" s="17"/>
      <x:c r="P422" s="17"/>
      <x:c r="Q422" s="17" t="str">
        <x:f>IF(COUNT(L422:P422)&lt;5,"",ROUND((L422*25+M422*20+N422*20+O422*20+P422*15)/5,1))</x:f>
      </x:c>
      <x:c r="R422" s="18" t="str"/>
      <x:c r="S422" s="18" t="str"/>
      <x:c r="T422" s="17" t="str"/>
      <x:c r="U422" s="19"/>
    </x:row>
    <x:row r="423">
      <x:c r="A423" s="17" t="str">
        <x:v>MTS-0422</x:v>
      </x:c>
      <x:c r="B423" s="17" t="str">
        <x:v>Caregiver Device Safety Check</x:v>
      </x:c>
      <x:c r="C423" s="17" t="str">
        <x:v>Senior Digital Safety</x:v>
      </x:c>
      <x:c r="D423" s="17" t="str">
        <x:v>Mobile + Web</x:v>
      </x:c>
      <x:c r="E423" s="17" t="str">
        <x:v>Older adults and caregivers</x:v>
      </x:c>
      <x:c r="F423" s="18" t="str">
        <x:v>Caregiver Device Safety Check provides a focused senior digital safety workflow for older adults and caregivers.</x:v>
      </x:c>
      <x:c r="G423" s="18" t="str">
        <x:v>Guided Setup, Scam Safety, Recovery, Reports</x:v>
      </x:c>
      <x:c r="H423" s="17" t="str">
        <x:v>Freemium + Pro</x:v>
      </x:c>
      <x:c r="I423" s="17" t="str">
        <x:v>Small</x:v>
      </x:c>
      <x:c r="J423" s="17" t="str">
        <x:v>New candidate</x:v>
      </x:c>
      <x:c r="K423" s="17" t="str">
        <x:v>Unreviewed</x:v>
      </x:c>
      <x:c r="L423" s="17"/>
      <x:c r="M423" s="17"/>
      <x:c r="N423" s="17"/>
      <x:c r="O423" s="17"/>
      <x:c r="P423" s="17"/>
      <x:c r="Q423" s="17" t="str">
        <x:f>IF(COUNT(L423:P423)&lt;5,"",ROUND((L423*25+M423*20+N423*20+O423*20+P423*15)/5,1))</x:f>
      </x:c>
      <x:c r="R423" s="18" t="str"/>
      <x:c r="S423" s="18" t="str"/>
      <x:c r="T423" s="17" t="str"/>
      <x:c r="U423" s="19"/>
    </x:row>
    <x:row r="424">
      <x:c r="A424" s="17" t="str">
        <x:v>MTS-0423</x:v>
      </x:c>
      <x:c r="B424" s="17" t="str">
        <x:v>Simplified Privacy Setup</x:v>
      </x:c>
      <x:c r="C424" s="17" t="str">
        <x:v>Senior Digital Safety</x:v>
      </x:c>
      <x:c r="D424" s="17" t="str">
        <x:v>Mobile + Web</x:v>
      </x:c>
      <x:c r="E424" s="17" t="str">
        <x:v>Older adults and caregivers</x:v>
      </x:c>
      <x:c r="F424" s="18" t="str">
        <x:v>Simplified Privacy Setup provides a focused senior digital safety workflow for older adults and caregivers.</x:v>
      </x:c>
      <x:c r="G424" s="18" t="str">
        <x:v>Guided Setup, Scam Safety, Recovery, Reports</x:v>
      </x:c>
      <x:c r="H424" s="17" t="str">
        <x:v>Freemium + Pro</x:v>
      </x:c>
      <x:c r="I424" s="17" t="str">
        <x:v>Small</x:v>
      </x:c>
      <x:c r="J424" s="17" t="str">
        <x:v>New candidate</x:v>
      </x:c>
      <x:c r="K424" s="17" t="str">
        <x:v>Unreviewed</x:v>
      </x:c>
      <x:c r="L424" s="17"/>
      <x:c r="M424" s="17"/>
      <x:c r="N424" s="17"/>
      <x:c r="O424" s="17"/>
      <x:c r="P424" s="17"/>
      <x:c r="Q424" s="17" t="str">
        <x:f>IF(COUNT(L424:P424)&lt;5,"",ROUND((L424*25+M424*20+N424*20+O424*20+P424*15)/5,1))</x:f>
      </x:c>
      <x:c r="R424" s="18" t="str"/>
      <x:c r="S424" s="18" t="str"/>
      <x:c r="T424" s="17" t="str"/>
      <x:c r="U424" s="19"/>
    </x:row>
    <x:row r="425">
      <x:c r="A425" s="17" t="str">
        <x:v>MTS-0424</x:v>
      </x:c>
      <x:c r="B425" s="17" t="str">
        <x:v>Remote Support Session Log</x:v>
      </x:c>
      <x:c r="C425" s="17" t="str">
        <x:v>Senior Digital Safety</x:v>
      </x:c>
      <x:c r="D425" s="17" t="str">
        <x:v>Mobile + Web</x:v>
      </x:c>
      <x:c r="E425" s="17" t="str">
        <x:v>Older adults and caregivers</x:v>
      </x:c>
      <x:c r="F425" s="18" t="str">
        <x:v>Remote Support Session Log provides a focused senior digital safety workflow for older adults and caregivers.</x:v>
      </x:c>
      <x:c r="G425" s="18" t="str">
        <x:v>Guided Setup, Scam Safety, Recovery, Reports</x:v>
      </x:c>
      <x:c r="H425" s="17" t="str">
        <x:v>Freemium + Pro</x:v>
      </x:c>
      <x:c r="I425" s="17" t="str">
        <x:v>Small</x:v>
      </x:c>
      <x:c r="J425" s="17" t="str">
        <x:v>New candidate</x:v>
      </x:c>
      <x:c r="K425" s="17" t="str">
        <x:v>Unreviewed</x:v>
      </x:c>
      <x:c r="L425" s="17"/>
      <x:c r="M425" s="17"/>
      <x:c r="N425" s="17"/>
      <x:c r="O425" s="17"/>
      <x:c r="P425" s="17"/>
      <x:c r="Q425" s="17" t="str">
        <x:f>IF(COUNT(L425:P425)&lt;5,"",ROUND((L425*25+M425*20+N425*20+O425*20+P425*15)/5,1))</x:f>
      </x:c>
      <x:c r="R425" s="18" t="str"/>
      <x:c r="S425" s="18" t="str"/>
      <x:c r="T425" s="17" t="str"/>
      <x:c r="U425" s="19"/>
    </x:row>
    <x:row r="426">
      <x:c r="A426" s="17" t="str">
        <x:v>MTS-0425</x:v>
      </x:c>
      <x:c r="B426" s="17" t="str">
        <x:v>Senior Account Recovery Plan</x:v>
      </x:c>
      <x:c r="C426" s="17" t="str">
        <x:v>Senior Digital Safety</x:v>
      </x:c>
      <x:c r="D426" s="17" t="str">
        <x:v>Mobile + Web</x:v>
      </x:c>
      <x:c r="E426" s="17" t="str">
        <x:v>Older adults and caregivers</x:v>
      </x:c>
      <x:c r="F426" s="18" t="str">
        <x:v>Senior Account Recovery Plan provides a focused senior digital safety workflow for older adults and caregivers.</x:v>
      </x:c>
      <x:c r="G426" s="18" t="str">
        <x:v>Guided Setup, Scam Safety, Recovery, Reports</x:v>
      </x:c>
      <x:c r="H426" s="17" t="str">
        <x:v>Freemium + Pro</x:v>
      </x:c>
      <x:c r="I426" s="17" t="str">
        <x:v>Small</x:v>
      </x:c>
      <x:c r="J426" s="17" t="str">
        <x:v>New candidate</x:v>
      </x:c>
      <x:c r="K426" s="17" t="str">
        <x:v>Unreviewed</x:v>
      </x:c>
      <x:c r="L426" s="17"/>
      <x:c r="M426" s="17"/>
      <x:c r="N426" s="17"/>
      <x:c r="O426" s="17"/>
      <x:c r="P426" s="17"/>
      <x:c r="Q426" s="17" t="str">
        <x:f>IF(COUNT(L426:P426)&lt;5,"",ROUND((L426*25+M426*20+N426*20+O426*20+P426*15)/5,1))</x:f>
      </x:c>
      <x:c r="R426" s="18" t="str"/>
      <x:c r="S426" s="18" t="str"/>
      <x:c r="T426" s="17" t="str"/>
      <x:c r="U426" s="19"/>
    </x:row>
    <x:row r="427">
      <x:c r="A427" s="17" t="str">
        <x:v>MTS-0426</x:v>
      </x:c>
      <x:c r="B427" s="17" t="str">
        <x:v>Medical Portal Safety Checklist</x:v>
      </x:c>
      <x:c r="C427" s="17" t="str">
        <x:v>Senior Digital Safety</x:v>
      </x:c>
      <x:c r="D427" s="17" t="str">
        <x:v>Mobile + Web</x:v>
      </x:c>
      <x:c r="E427" s="17" t="str">
        <x:v>Older adults and caregivers</x:v>
      </x:c>
      <x:c r="F427" s="18" t="str">
        <x:v>Medical Portal Safety Checklist provides a focused senior digital safety workflow for older adults and caregivers.</x:v>
      </x:c>
      <x:c r="G427" s="18" t="str">
        <x:v>Guided Setup, Scam Safety, Recovery, Reports</x:v>
      </x:c>
      <x:c r="H427" s="17" t="str">
        <x:v>Freemium + Pro</x:v>
      </x:c>
      <x:c r="I427" s="17" t="str">
        <x:v>Small</x:v>
      </x:c>
      <x:c r="J427" s="17" t="str">
        <x:v>New candidate</x:v>
      </x:c>
      <x:c r="K427" s="17" t="str">
        <x:v>Unreviewed</x:v>
      </x:c>
      <x:c r="L427" s="17"/>
      <x:c r="M427" s="17"/>
      <x:c r="N427" s="17"/>
      <x:c r="O427" s="17"/>
      <x:c r="P427" s="17"/>
      <x:c r="Q427" s="17" t="str">
        <x:f>IF(COUNT(L427:P427)&lt;5,"",ROUND((L427*25+M427*20+N427*20+O427*20+P427*15)/5,1))</x:f>
      </x:c>
      <x:c r="R427" s="18" t="str"/>
      <x:c r="S427" s="18" t="str"/>
      <x:c r="T427" s="17" t="str"/>
      <x:c r="U427" s="19"/>
    </x:row>
    <x:row r="428">
      <x:c r="A428" s="17" t="str">
        <x:v>MTS-0427</x:v>
      </x:c>
      <x:c r="B428" s="17" t="str">
        <x:v>Senior Password Transition Plan</x:v>
      </x:c>
      <x:c r="C428" s="17" t="str">
        <x:v>Senior Digital Safety</x:v>
      </x:c>
      <x:c r="D428" s="17" t="str">
        <x:v>Mobile + Web</x:v>
      </x:c>
      <x:c r="E428" s="17" t="str">
        <x:v>Older adults and caregivers</x:v>
      </x:c>
      <x:c r="F428" s="18" t="str">
        <x:v>Senior Password Transition Plan provides a focused senior digital safety workflow for older adults and caregivers.</x:v>
      </x:c>
      <x:c r="G428" s="18" t="str">
        <x:v>Guided Setup, Scam Safety, Recovery, Reports</x:v>
      </x:c>
      <x:c r="H428" s="17" t="str">
        <x:v>Freemium + Pro</x:v>
      </x:c>
      <x:c r="I428" s="17" t="str">
        <x:v>Small</x:v>
      </x:c>
      <x:c r="J428" s="17" t="str">
        <x:v>New candidate</x:v>
      </x:c>
      <x:c r="K428" s="17" t="str">
        <x:v>Unreviewed</x:v>
      </x:c>
      <x:c r="L428" s="17"/>
      <x:c r="M428" s="17"/>
      <x:c r="N428" s="17"/>
      <x:c r="O428" s="17"/>
      <x:c r="P428" s="17"/>
      <x:c r="Q428" s="17" t="str">
        <x:f>IF(COUNT(L428:P428)&lt;5,"",ROUND((L428*25+M428*20+N428*20+O428*20+P428*15)/5,1))</x:f>
      </x:c>
      <x:c r="R428" s="18" t="str"/>
      <x:c r="S428" s="18" t="str"/>
      <x:c r="T428" s="17" t="str"/>
      <x:c r="U428" s="19"/>
    </x:row>
    <x:row r="429">
      <x:c r="A429" s="17" t="str">
        <x:v>MTS-0428</x:v>
      </x:c>
      <x:c r="B429" s="17" t="str">
        <x:v>Trusted Contact Organizer</x:v>
      </x:c>
      <x:c r="C429" s="17" t="str">
        <x:v>Senior Digital Safety</x:v>
      </x:c>
      <x:c r="D429" s="17" t="str">
        <x:v>Mobile + Web</x:v>
      </x:c>
      <x:c r="E429" s="17" t="str">
        <x:v>Older adults and caregivers</x:v>
      </x:c>
      <x:c r="F429" s="18" t="str">
        <x:v>Trusted Contact Organizer provides a focused senior digital safety workflow for older adults and caregivers.</x:v>
      </x:c>
      <x:c r="G429" s="18" t="str">
        <x:v>Guided Setup, Scam Safety, Recovery, Reports</x:v>
      </x:c>
      <x:c r="H429" s="17" t="str">
        <x:v>Freemium + Pro</x:v>
      </x:c>
      <x:c r="I429" s="17" t="str">
        <x:v>Small</x:v>
      </x:c>
      <x:c r="J429" s="17" t="str">
        <x:v>New candidate</x:v>
      </x:c>
      <x:c r="K429" s="17" t="str">
        <x:v>Unreviewed</x:v>
      </x:c>
      <x:c r="L429" s="17"/>
      <x:c r="M429" s="17"/>
      <x:c r="N429" s="17"/>
      <x:c r="O429" s="17"/>
      <x:c r="P429" s="17"/>
      <x:c r="Q429" s="17" t="str">
        <x:f>IF(COUNT(L429:P429)&lt;5,"",ROUND((L429*25+M429*20+N429*20+O429*20+P429*15)/5,1))</x:f>
      </x:c>
      <x:c r="R429" s="18" t="str"/>
      <x:c r="S429" s="18" t="str"/>
      <x:c r="T429" s="17" t="str"/>
      <x:c r="U429" s="19"/>
    </x:row>
    <x:row r="430">
      <x:c r="A430" s="17" t="str">
        <x:v>MTS-0429</x:v>
      </x:c>
      <x:c r="B430" s="17" t="str">
        <x:v>Suspicious Mail Review Log</x:v>
      </x:c>
      <x:c r="C430" s="17" t="str">
        <x:v>Senior Digital Safety</x:v>
      </x:c>
      <x:c r="D430" s="17" t="str">
        <x:v>Mobile + Web</x:v>
      </x:c>
      <x:c r="E430" s="17" t="str">
        <x:v>Older adults and caregivers</x:v>
      </x:c>
      <x:c r="F430" s="18" t="str">
        <x:v>Suspicious Mail Review Log provides a focused senior digital safety workflow for older adults and caregivers.</x:v>
      </x:c>
      <x:c r="G430" s="18" t="str">
        <x:v>Guided Setup, Scam Safety, Recovery, Reports</x:v>
      </x:c>
      <x:c r="H430" s="17" t="str">
        <x:v>Freemium + Pro</x:v>
      </x:c>
      <x:c r="I430" s="17" t="str">
        <x:v>Small</x:v>
      </x:c>
      <x:c r="J430" s="17" t="str">
        <x:v>New candidate</x:v>
      </x:c>
      <x:c r="K430" s="17" t="str">
        <x:v>Unreviewed</x:v>
      </x:c>
      <x:c r="L430" s="17"/>
      <x:c r="M430" s="17"/>
      <x:c r="N430" s="17"/>
      <x:c r="O430" s="17"/>
      <x:c r="P430" s="17"/>
      <x:c r="Q430" s="17" t="str">
        <x:f>IF(COUNT(L430:P430)&lt;5,"",ROUND((L430*25+M430*20+N430*20+O430*20+P430*15)/5,1))</x:f>
      </x:c>
      <x:c r="R430" s="18" t="str"/>
      <x:c r="S430" s="18" t="str"/>
      <x:c r="T430" s="17" t="str"/>
      <x:c r="U430" s="19"/>
    </x:row>
    <x:row r="431">
      <x:c r="A431" s="17" t="str">
        <x:v>MTS-0430</x:v>
      </x:c>
      <x:c r="B431" s="17" t="str">
        <x:v>Device Change Alert Checklist</x:v>
      </x:c>
      <x:c r="C431" s="17" t="str">
        <x:v>Senior Digital Safety</x:v>
      </x:c>
      <x:c r="D431" s="17" t="str">
        <x:v>Mobile + Web</x:v>
      </x:c>
      <x:c r="E431" s="17" t="str">
        <x:v>Older adults and caregivers</x:v>
      </x:c>
      <x:c r="F431" s="18" t="str">
        <x:v>Device Change Alert Checklist provides a focused senior digital safety workflow for older adults and caregivers.</x:v>
      </x:c>
      <x:c r="G431" s="18" t="str">
        <x:v>Guided Setup, Scam Safety, Recovery, Reports</x:v>
      </x:c>
      <x:c r="H431" s="17" t="str">
        <x:v>Freemium + Pro</x:v>
      </x:c>
      <x:c r="I431" s="17" t="str">
        <x:v>Small</x:v>
      </x:c>
      <x:c r="J431" s="17" t="str">
        <x:v>New candidate</x:v>
      </x:c>
      <x:c r="K431" s="17" t="str">
        <x:v>Unreviewed</x:v>
      </x:c>
      <x:c r="L431" s="17"/>
      <x:c r="M431" s="17"/>
      <x:c r="N431" s="17"/>
      <x:c r="O431" s="17"/>
      <x:c r="P431" s="17"/>
      <x:c r="Q431" s="17" t="str">
        <x:f>IF(COUNT(L431:P431)&lt;5,"",ROUND((L431*25+M431*20+N431*20+O431*20+P431*15)/5,1))</x:f>
      </x:c>
      <x:c r="R431" s="18" t="str"/>
      <x:c r="S431" s="18" t="str"/>
      <x:c r="T431" s="17" t="str"/>
      <x:c r="U431" s="19"/>
    </x:row>
    <x:row r="432">
      <x:c r="A432" s="17" t="str">
        <x:v>MTS-0431</x:v>
      </x:c>
      <x:c r="B432" s="17" t="str">
        <x:v>Emergency Lockdown Instructions</x:v>
      </x:c>
      <x:c r="C432" s="17" t="str">
        <x:v>Senior Digital Safety</x:v>
      </x:c>
      <x:c r="D432" s="17" t="str">
        <x:v>Mobile + Web</x:v>
      </x:c>
      <x:c r="E432" s="17" t="str">
        <x:v>Older adults and caregivers</x:v>
      </x:c>
      <x:c r="F432" s="18" t="str">
        <x:v>Emergency Lockdown Instructions provides a focused senior digital safety workflow for older adults and caregivers.</x:v>
      </x:c>
      <x:c r="G432" s="18" t="str">
        <x:v>Guided Setup, Scam Safety, Recovery, Reports</x:v>
      </x:c>
      <x:c r="H432" s="17" t="str">
        <x:v>Freemium + Pro</x:v>
      </x:c>
      <x:c r="I432" s="17" t="str">
        <x:v>Small</x:v>
      </x:c>
      <x:c r="J432" s="17" t="str">
        <x:v>New candidate</x:v>
      </x:c>
      <x:c r="K432" s="17" t="str">
        <x:v>Unreviewed</x:v>
      </x:c>
      <x:c r="L432" s="17"/>
      <x:c r="M432" s="17"/>
      <x:c r="N432" s="17"/>
      <x:c r="O432" s="17"/>
      <x:c r="P432" s="17"/>
      <x:c r="Q432" s="17" t="str">
        <x:f>IF(COUNT(L432:P432)&lt;5,"",ROUND((L432*25+M432*20+N432*20+O432*20+P432*15)/5,1))</x:f>
      </x:c>
      <x:c r="R432" s="18" t="str"/>
      <x:c r="S432" s="18" t="str"/>
      <x:c r="T432" s="17" t="str"/>
      <x:c r="U432" s="19"/>
    </x:row>
    <x:row r="433">
      <x:c r="A433" s="17" t="str">
        <x:v>MTS-0432</x:v>
      </x:c>
      <x:c r="B433" s="17" t="str">
        <x:v>Senior Digital Safety Report</x:v>
      </x:c>
      <x:c r="C433" s="17" t="str">
        <x:v>Senior Digital Safety</x:v>
      </x:c>
      <x:c r="D433" s="17" t="str">
        <x:v>Mobile + Web</x:v>
      </x:c>
      <x:c r="E433" s="17" t="str">
        <x:v>Older adults and caregivers</x:v>
      </x:c>
      <x:c r="F433" s="18" t="str">
        <x:v>Senior Digital Safety Report provides a focused senior digital safety workflow for older adults and caregivers.</x:v>
      </x:c>
      <x:c r="G433" s="18" t="str">
        <x:v>Guided Setup, Scam Safety, Recovery, Reports</x:v>
      </x:c>
      <x:c r="H433" s="17" t="str">
        <x:v>Freemium + Pro</x:v>
      </x:c>
      <x:c r="I433" s="17" t="str">
        <x:v>Small</x:v>
      </x:c>
      <x:c r="J433" s="17" t="str">
        <x:v>New candidate</x:v>
      </x:c>
      <x:c r="K433" s="17" t="str">
        <x:v>Unreviewed</x:v>
      </x:c>
      <x:c r="L433" s="17"/>
      <x:c r="M433" s="17"/>
      <x:c r="N433" s="17"/>
      <x:c r="O433" s="17"/>
      <x:c r="P433" s="17"/>
      <x:c r="Q433" s="17" t="str">
        <x:f>IF(COUNT(L433:P433)&lt;5,"",ROUND((L433*25+M433*20+N433*20+O433*20+P433*15)/5,1))</x:f>
      </x:c>
      <x:c r="R433" s="18" t="str"/>
      <x:c r="S433" s="18" t="str"/>
      <x:c r="T433" s="17" t="str"/>
      <x:c r="U433" s="19"/>
    </x:row>
    <x:row r="434">
      <x:c r="A434" s="17" t="str">
        <x:v>MTS-0433</x:v>
      </x:c>
      <x:c r="B434" s="17" t="str">
        <x:v>Cyber Hygiene Checklist</x:v>
      </x:c>
      <x:c r="C434" s="17" t="str">
        <x:v>Small Business Cyber Hygiene</x:v>
      </x:c>
      <x:c r="D434" s="17" t="str">
        <x:v>Web + Mobile</x:v>
      </x:c>
      <x:c r="E434" s="17" t="str">
        <x:v>Small businesses without dedicated IT</x:v>
      </x:c>
      <x:c r="F434" s="18" t="str">
        <x:v>Cyber Hygiene Checklist provides a focused small business cyber hygiene workflow for small businesses without dedicated it.</x:v>
      </x:c>
      <x:c r="G434" s="18" t="str">
        <x:v>Checklists, Access Review, Training, Evidence</x:v>
      </x:c>
      <x:c r="H434" s="17" t="str">
        <x:v>Subscription</x:v>
      </x:c>
      <x:c r="I434" s="17" t="str">
        <x:v>Medium</x:v>
      </x:c>
      <x:c r="J434" s="17" t="str">
        <x:v>New candidate</x:v>
      </x:c>
      <x:c r="K434" s="17" t="str">
        <x:v>Unreviewed</x:v>
      </x:c>
      <x:c r="L434" s="17"/>
      <x:c r="M434" s="17"/>
      <x:c r="N434" s="17"/>
      <x:c r="O434" s="17"/>
      <x:c r="P434" s="17"/>
      <x:c r="Q434" s="17" t="str">
        <x:f>IF(COUNT(L434:P434)&lt;5,"",ROUND((L434*25+M434*20+N434*20+O434*20+P434*15)/5,1))</x:f>
      </x:c>
      <x:c r="R434" s="18" t="str"/>
      <x:c r="S434" s="18" t="str"/>
      <x:c r="T434" s="17" t="str"/>
      <x:c r="U434" s="19"/>
    </x:row>
    <x:row r="435">
      <x:c r="A435" s="17" t="str">
        <x:v>MTS-0434</x:v>
      </x:c>
      <x:c r="B435" s="17" t="str">
        <x:v>Employee Access Review</x:v>
      </x:c>
      <x:c r="C435" s="17" t="str">
        <x:v>Small Business Cyber Hygiene</x:v>
      </x:c>
      <x:c r="D435" s="17" t="str">
        <x:v>Web + Mobile</x:v>
      </x:c>
      <x:c r="E435" s="17" t="str">
        <x:v>Small businesses without dedicated IT</x:v>
      </x:c>
      <x:c r="F435" s="18" t="str">
        <x:v>Employee Access Review provides a focused small business cyber hygiene workflow for small businesses without dedicated it.</x:v>
      </x:c>
      <x:c r="G435" s="18" t="str">
        <x:v>Checklists, Access Review, Training, Evidence</x:v>
      </x:c>
      <x:c r="H435" s="17" t="str">
        <x:v>Subscription</x:v>
      </x:c>
      <x:c r="I435" s="17" t="str">
        <x:v>Medium</x:v>
      </x:c>
      <x:c r="J435" s="17" t="str">
        <x:v>New candidate</x:v>
      </x:c>
      <x:c r="K435" s="17" t="str">
        <x:v>Unreviewed</x:v>
      </x:c>
      <x:c r="L435" s="17"/>
      <x:c r="M435" s="17"/>
      <x:c r="N435" s="17"/>
      <x:c r="O435" s="17"/>
      <x:c r="P435" s="17"/>
      <x:c r="Q435" s="17" t="str">
        <x:f>IF(COUNT(L435:P435)&lt;5,"",ROUND((L435*25+M435*20+N435*20+O435*20+P435*15)/5,1))</x:f>
      </x:c>
      <x:c r="R435" s="18" t="str"/>
      <x:c r="S435" s="18" t="str"/>
      <x:c r="T435" s="17" t="str"/>
      <x:c r="U435" s="19"/>
    </x:row>
    <x:row r="436">
      <x:c r="A436" s="17" t="str">
        <x:v>MTS-0435</x:v>
      </x:c>
      <x:c r="B436" s="17" t="str">
        <x:v>Small Business MFA Rollout</x:v>
      </x:c>
      <x:c r="C436" s="17" t="str">
        <x:v>Small Business Cyber Hygiene</x:v>
      </x:c>
      <x:c r="D436" s="17" t="str">
        <x:v>Web + Mobile</x:v>
      </x:c>
      <x:c r="E436" s="17" t="str">
        <x:v>Small businesses without dedicated IT</x:v>
      </x:c>
      <x:c r="F436" s="18" t="str">
        <x:v>Small Business MFA Rollout provides a focused small business cyber hygiene workflow for small businesses without dedicated it.</x:v>
      </x:c>
      <x:c r="G436" s="18" t="str">
        <x:v>Checklists, Access Review, Training, Evidence</x:v>
      </x:c>
      <x:c r="H436" s="17" t="str">
        <x:v>Subscription</x:v>
      </x:c>
      <x:c r="I436" s="17" t="str">
        <x:v>Medium</x:v>
      </x:c>
      <x:c r="J436" s="17" t="str">
        <x:v>New candidate</x:v>
      </x:c>
      <x:c r="K436" s="17" t="str">
        <x:v>Unreviewed</x:v>
      </x:c>
      <x:c r="L436" s="17"/>
      <x:c r="M436" s="17"/>
      <x:c r="N436" s="17"/>
      <x:c r="O436" s="17"/>
      <x:c r="P436" s="17"/>
      <x:c r="Q436" s="17" t="str">
        <x:f>IF(COUNT(L436:P436)&lt;5,"",ROUND((L436*25+M436*20+N436*20+O436*20+P436*15)/5,1))</x:f>
      </x:c>
      <x:c r="R436" s="18" t="str"/>
      <x:c r="S436" s="18" t="str"/>
      <x:c r="T436" s="17" t="str"/>
      <x:c r="U436" s="19"/>
    </x:row>
    <x:row r="437">
      <x:c r="A437" s="17" t="str">
        <x:v>MTS-0436</x:v>
      </x:c>
      <x:c r="B437" s="17" t="str">
        <x:v>Security Awareness Tracker</x:v>
      </x:c>
      <x:c r="C437" s="17" t="str">
        <x:v>Small Business Cyber Hygiene</x:v>
      </x:c>
      <x:c r="D437" s="17" t="str">
        <x:v>Web + Mobile</x:v>
      </x:c>
      <x:c r="E437" s="17" t="str">
        <x:v>Small businesses without dedicated IT</x:v>
      </x:c>
      <x:c r="F437" s="18" t="str">
        <x:v>Security Awareness Tracker provides a focused small business cyber hygiene workflow for small businesses without dedicated it.</x:v>
      </x:c>
      <x:c r="G437" s="18" t="str">
        <x:v>Checklists, Access Review, Training, Evidence</x:v>
      </x:c>
      <x:c r="H437" s="17" t="str">
        <x:v>Subscription</x:v>
      </x:c>
      <x:c r="I437" s="17" t="str">
        <x:v>Medium</x:v>
      </x:c>
      <x:c r="J437" s="17" t="str">
        <x:v>New candidate</x:v>
      </x:c>
      <x:c r="K437" s="17" t="str">
        <x:v>Unreviewed</x:v>
      </x:c>
      <x:c r="L437" s="17"/>
      <x:c r="M437" s="17"/>
      <x:c r="N437" s="17"/>
      <x:c r="O437" s="17"/>
      <x:c r="P437" s="17"/>
      <x:c r="Q437" s="17" t="str">
        <x:f>IF(COUNT(L437:P437)&lt;5,"",ROUND((L437*25+M437*20+N437*20+O437*20+P437*15)/5,1))</x:f>
      </x:c>
      <x:c r="R437" s="18" t="str"/>
      <x:c r="S437" s="18" t="str"/>
      <x:c r="T437" s="17" t="str"/>
      <x:c r="U437" s="19"/>
    </x:row>
    <x:row r="438">
      <x:c r="A438" s="17" t="str">
        <x:v>MTS-0437</x:v>
      </x:c>
      <x:c r="B438" s="17" t="str">
        <x:v>Vendor Access Register</x:v>
      </x:c>
      <x:c r="C438" s="17" t="str">
        <x:v>Small Business Cyber Hygiene</x:v>
      </x:c>
      <x:c r="D438" s="17" t="str">
        <x:v>Web + Mobile</x:v>
      </x:c>
      <x:c r="E438" s="17" t="str">
        <x:v>Small businesses without dedicated IT</x:v>
      </x:c>
      <x:c r="F438" s="18" t="str">
        <x:v>Vendor Access Register provides a focused small business cyber hygiene workflow for small businesses without dedicated it.</x:v>
      </x:c>
      <x:c r="G438" s="18" t="str">
        <x:v>Checklists, Access Review, Training, Evidence</x:v>
      </x:c>
      <x:c r="H438" s="17" t="str">
        <x:v>Subscription</x:v>
      </x:c>
      <x:c r="I438" s="17" t="str">
        <x:v>Medium</x:v>
      </x:c>
      <x:c r="J438" s="17" t="str">
        <x:v>New candidate</x:v>
      </x:c>
      <x:c r="K438" s="17" t="str">
        <x:v>Unreviewed</x:v>
      </x:c>
      <x:c r="L438" s="17"/>
      <x:c r="M438" s="17"/>
      <x:c r="N438" s="17"/>
      <x:c r="O438" s="17"/>
      <x:c r="P438" s="17"/>
      <x:c r="Q438" s="17" t="str">
        <x:f>IF(COUNT(L438:P438)&lt;5,"",ROUND((L438*25+M438*20+N438*20+O438*20+P438*15)/5,1))</x:f>
      </x:c>
      <x:c r="R438" s="18" t="str"/>
      <x:c r="S438" s="18" t="str"/>
      <x:c r="T438" s="17" t="str"/>
      <x:c r="U438" s="19"/>
    </x:row>
    <x:row r="439">
      <x:c r="A439" s="17" t="str">
        <x:v>MTS-0438</x:v>
      </x:c>
      <x:c r="B439" s="17" t="str">
        <x:v>Shared Account Elimination Plan</x:v>
      </x:c>
      <x:c r="C439" s="17" t="str">
        <x:v>Small Business Cyber Hygiene</x:v>
      </x:c>
      <x:c r="D439" s="17" t="str">
        <x:v>Web + Mobile</x:v>
      </x:c>
      <x:c r="E439" s="17" t="str">
        <x:v>Small businesses without dedicated IT</x:v>
      </x:c>
      <x:c r="F439" s="18" t="str">
        <x:v>Shared Account Elimination Plan provides a focused small business cyber hygiene workflow for small businesses without dedicated it.</x:v>
      </x:c>
      <x:c r="G439" s="18" t="str">
        <x:v>Checklists, Access Review, Training, Evidence</x:v>
      </x:c>
      <x:c r="H439" s="17" t="str">
        <x:v>Subscription</x:v>
      </x:c>
      <x:c r="I439" s="17" t="str">
        <x:v>Medium</x:v>
      </x:c>
      <x:c r="J439" s="17" t="str">
        <x:v>New candidate</x:v>
      </x:c>
      <x:c r="K439" s="17" t="str">
        <x:v>Unreviewed</x:v>
      </x:c>
      <x:c r="L439" s="17"/>
      <x:c r="M439" s="17"/>
      <x:c r="N439" s="17"/>
      <x:c r="O439" s="17"/>
      <x:c r="P439" s="17"/>
      <x:c r="Q439" s="17" t="str">
        <x:f>IF(COUNT(L439:P439)&lt;5,"",ROUND((L439*25+M439*20+N439*20+O439*20+P439*15)/5,1))</x:f>
      </x:c>
      <x:c r="R439" s="18" t="str"/>
      <x:c r="S439" s="18" t="str"/>
      <x:c r="T439" s="17" t="str"/>
      <x:c r="U439" s="19"/>
    </x:row>
    <x:row r="440">
      <x:c r="A440" s="17" t="str">
        <x:v>MTS-0439</x:v>
      </x:c>
      <x:c r="B440" s="17" t="str">
        <x:v>Business Recovery Contact Tree</x:v>
      </x:c>
      <x:c r="C440" s="17" t="str">
        <x:v>Small Business Cyber Hygiene</x:v>
      </x:c>
      <x:c r="D440" s="17" t="str">
        <x:v>Web + Mobile</x:v>
      </x:c>
      <x:c r="E440" s="17" t="str">
        <x:v>Small businesses without dedicated IT</x:v>
      </x:c>
      <x:c r="F440" s="18" t="str">
        <x:v>Business Recovery Contact Tree provides a focused small business cyber hygiene workflow for small businesses without dedicated it.</x:v>
      </x:c>
      <x:c r="G440" s="18" t="str">
        <x:v>Checklists, Access Review, Training, Evidence</x:v>
      </x:c>
      <x:c r="H440" s="17" t="str">
        <x:v>Subscription</x:v>
      </x:c>
      <x:c r="I440" s="17" t="str">
        <x:v>Medium</x:v>
      </x:c>
      <x:c r="J440" s="17" t="str">
        <x:v>New candidate</x:v>
      </x:c>
      <x:c r="K440" s="17" t="str">
        <x:v>Unreviewed</x:v>
      </x:c>
      <x:c r="L440" s="17"/>
      <x:c r="M440" s="17"/>
      <x:c r="N440" s="17"/>
      <x:c r="O440" s="17"/>
      <x:c r="P440" s="17"/>
      <x:c r="Q440" s="17" t="str">
        <x:f>IF(COUNT(L440:P440)&lt;5,"",ROUND((L440*25+M440*20+N440*20+O440*20+P440*15)/5,1))</x:f>
      </x:c>
      <x:c r="R440" s="18" t="str"/>
      <x:c r="S440" s="18" t="str"/>
      <x:c r="T440" s="17" t="str"/>
      <x:c r="U440" s="19"/>
    </x:row>
    <x:row r="441">
      <x:c r="A441" s="17" t="str">
        <x:v>MTS-0440</x:v>
      </x:c>
      <x:c r="B441" s="17" t="str">
        <x:v>Remote Work Security Check</x:v>
      </x:c>
      <x:c r="C441" s="17" t="str">
        <x:v>Small Business Cyber Hygiene</x:v>
      </x:c>
      <x:c r="D441" s="17" t="str">
        <x:v>Web + Mobile</x:v>
      </x:c>
      <x:c r="E441" s="17" t="str">
        <x:v>Small businesses without dedicated IT</x:v>
      </x:c>
      <x:c r="F441" s="18" t="str">
        <x:v>Remote Work Security Check provides a focused small business cyber hygiene workflow for small businesses without dedicated it.</x:v>
      </x:c>
      <x:c r="G441" s="18" t="str">
        <x:v>Checklists, Access Review, Training, Evidence</x:v>
      </x:c>
      <x:c r="H441" s="17" t="str">
        <x:v>Subscription</x:v>
      </x:c>
      <x:c r="I441" s="17" t="str">
        <x:v>Medium</x:v>
      </x:c>
      <x:c r="J441" s="17" t="str">
        <x:v>New candidate</x:v>
      </x:c>
      <x:c r="K441" s="17" t="str">
        <x:v>Unreviewed</x:v>
      </x:c>
      <x:c r="L441" s="17"/>
      <x:c r="M441" s="17"/>
      <x:c r="N441" s="17"/>
      <x:c r="O441" s="17"/>
      <x:c r="P441" s="17"/>
      <x:c r="Q441" s="17" t="str">
        <x:f>IF(COUNT(L441:P441)&lt;5,"",ROUND((L441*25+M441*20+N441*20+O441*20+P441*15)/5,1))</x:f>
      </x:c>
      <x:c r="R441" s="18" t="str"/>
      <x:c r="S441" s="18" t="str"/>
      <x:c r="T441" s="17" t="str"/>
      <x:c r="U441" s="19"/>
    </x:row>
    <x:row r="442">
      <x:c r="A442" s="17" t="str">
        <x:v>MTS-0441</x:v>
      </x:c>
      <x:c r="B442" s="17" t="str">
        <x:v>Payment Fraud Procedure</x:v>
      </x:c>
      <x:c r="C442" s="17" t="str">
        <x:v>Small Business Cyber Hygiene</x:v>
      </x:c>
      <x:c r="D442" s="17" t="str">
        <x:v>Web + Mobile</x:v>
      </x:c>
      <x:c r="E442" s="17" t="str">
        <x:v>Small businesses without dedicated IT</x:v>
      </x:c>
      <x:c r="F442" s="18" t="str">
        <x:v>Payment Fraud Procedure provides a focused small business cyber hygiene workflow for small businesses without dedicated it.</x:v>
      </x:c>
      <x:c r="G442" s="18" t="str">
        <x:v>Checklists, Access Review, Training, Evidence</x:v>
      </x:c>
      <x:c r="H442" s="17" t="str">
        <x:v>Subscription</x:v>
      </x:c>
      <x:c r="I442" s="17" t="str">
        <x:v>Medium</x:v>
      </x:c>
      <x:c r="J442" s="17" t="str">
        <x:v>New candidate</x:v>
      </x:c>
      <x:c r="K442" s="17" t="str">
        <x:v>Unreviewed</x:v>
      </x:c>
      <x:c r="L442" s="17"/>
      <x:c r="M442" s="17"/>
      <x:c r="N442" s="17"/>
      <x:c r="O442" s="17"/>
      <x:c r="P442" s="17"/>
      <x:c r="Q442" s="17" t="str">
        <x:f>IF(COUNT(L442:P442)&lt;5,"",ROUND((L442*25+M442*20+N442*20+O442*20+P442*15)/5,1))</x:f>
      </x:c>
      <x:c r="R442" s="18" t="str"/>
      <x:c r="S442" s="18" t="str"/>
      <x:c r="T442" s="17" t="str"/>
      <x:c r="U442" s="19"/>
    </x:row>
    <x:row r="443">
      <x:c r="A443" s="17" t="str">
        <x:v>MTS-0442</x:v>
      </x:c>
      <x:c r="B443" s="17" t="str">
        <x:v>Business Email Compromise Checklist</x:v>
      </x:c>
      <x:c r="C443" s="17" t="str">
        <x:v>Small Business Cyber Hygiene</x:v>
      </x:c>
      <x:c r="D443" s="17" t="str">
        <x:v>Web + Mobile</x:v>
      </x:c>
      <x:c r="E443" s="17" t="str">
        <x:v>Small businesses without dedicated IT</x:v>
      </x:c>
      <x:c r="F443" s="18" t="str">
        <x:v>Business Email Compromise Checklist provides a focused small business cyber hygiene workflow for small businesses without dedicated it.</x:v>
      </x:c>
      <x:c r="G443" s="18" t="str">
        <x:v>Checklists, Access Review, Training, Evidence</x:v>
      </x:c>
      <x:c r="H443" s="17" t="str">
        <x:v>Subscription</x:v>
      </x:c>
      <x:c r="I443" s="17" t="str">
        <x:v>Medium</x:v>
      </x:c>
      <x:c r="J443" s="17" t="str">
        <x:v>New candidate</x:v>
      </x:c>
      <x:c r="K443" s="17" t="str">
        <x:v>Unreviewed</x:v>
      </x:c>
      <x:c r="L443" s="17"/>
      <x:c r="M443" s="17"/>
      <x:c r="N443" s="17"/>
      <x:c r="O443" s="17"/>
      <x:c r="P443" s="17"/>
      <x:c r="Q443" s="17" t="str">
        <x:f>IF(COUNT(L443:P443)&lt;5,"",ROUND((L443*25+M443*20+N443*20+O443*20+P443*15)/5,1))</x:f>
      </x:c>
      <x:c r="R443" s="18" t="str"/>
      <x:c r="S443" s="18" t="str"/>
      <x:c r="T443" s="17" t="str"/>
      <x:c r="U443" s="19"/>
    </x:row>
    <x:row r="444">
      <x:c r="A444" s="17" t="str">
        <x:v>MTS-0443</x:v>
      </x:c>
      <x:c r="B444" s="17" t="str">
        <x:v>Cyber Insurance Evidence Pack</x:v>
      </x:c>
      <x:c r="C444" s="17" t="str">
        <x:v>Small Business Cyber Hygiene</x:v>
      </x:c>
      <x:c r="D444" s="17" t="str">
        <x:v>Web + Mobile</x:v>
      </x:c>
      <x:c r="E444" s="17" t="str">
        <x:v>Small businesses without dedicated IT</x:v>
      </x:c>
      <x:c r="F444" s="18" t="str">
        <x:v>Cyber Insurance Evidence Pack provides a focused small business cyber hygiene workflow for small businesses without dedicated it.</x:v>
      </x:c>
      <x:c r="G444" s="18" t="str">
        <x:v>Checklists, Access Review, Training, Evidence</x:v>
      </x:c>
      <x:c r="H444" s="17" t="str">
        <x:v>Subscription</x:v>
      </x:c>
      <x:c r="I444" s="17" t="str">
        <x:v>Medium</x:v>
      </x:c>
      <x:c r="J444" s="17" t="str">
        <x:v>New candidate</x:v>
      </x:c>
      <x:c r="K444" s="17" t="str">
        <x:v>Unreviewed</x:v>
      </x:c>
      <x:c r="L444" s="17"/>
      <x:c r="M444" s="17"/>
      <x:c r="N444" s="17"/>
      <x:c r="O444" s="17"/>
      <x:c r="P444" s="17"/>
      <x:c r="Q444" s="17" t="str">
        <x:f>IF(COUNT(L444:P444)&lt;5,"",ROUND((L444*25+M444*20+N444*20+O444*20+P444*15)/5,1))</x:f>
      </x:c>
      <x:c r="R444" s="18" t="str"/>
      <x:c r="S444" s="18" t="str"/>
      <x:c r="T444" s="17" t="str"/>
      <x:c r="U444" s="19"/>
    </x:row>
    <x:row r="445">
      <x:c r="A445" s="17" t="str">
        <x:v>MTS-0444</x:v>
      </x:c>
      <x:c r="B445" s="17" t="str">
        <x:v>Quarterly Security Review</x:v>
      </x:c>
      <x:c r="C445" s="17" t="str">
        <x:v>Small Business Cyber Hygiene</x:v>
      </x:c>
      <x:c r="D445" s="17" t="str">
        <x:v>Web + Mobile</x:v>
      </x:c>
      <x:c r="E445" s="17" t="str">
        <x:v>Small businesses without dedicated IT</x:v>
      </x:c>
      <x:c r="F445" s="18" t="str">
        <x:v>Quarterly Security Review provides a focused small business cyber hygiene workflow for small businesses without dedicated it.</x:v>
      </x:c>
      <x:c r="G445" s="18" t="str">
        <x:v>Checklists, Access Review, Training, Evidence</x:v>
      </x:c>
      <x:c r="H445" s="17" t="str">
        <x:v>Subscription</x:v>
      </x:c>
      <x:c r="I445" s="17" t="str">
        <x:v>Medium</x:v>
      </x:c>
      <x:c r="J445" s="17" t="str">
        <x:v>New candidate</x:v>
      </x:c>
      <x:c r="K445" s="17" t="str">
        <x:v>Unreviewed</x:v>
      </x:c>
      <x:c r="L445" s="17"/>
      <x:c r="M445" s="17"/>
      <x:c r="N445" s="17"/>
      <x:c r="O445" s="17"/>
      <x:c r="P445" s="17"/>
      <x:c r="Q445" s="17" t="str">
        <x:f>IF(COUNT(L445:P445)&lt;5,"",ROUND((L445*25+M445*20+N445*20+O445*20+P445*15)/5,1))</x:f>
      </x:c>
      <x:c r="R445" s="18" t="str"/>
      <x:c r="S445" s="18" t="str"/>
      <x:c r="T445" s="17" t="str"/>
      <x:c r="U445" s="19"/>
    </x:row>
    <x:row r="446">
      <x:c r="A446" s="17" t="str">
        <x:v>MTS-0445</x:v>
      </x:c>
      <x:c r="B446" s="17" t="str">
        <x:v>TLS Configuration Monitor</x:v>
      </x:c>
      <x:c r="C446" s="17" t="str">
        <x:v>Website and Domain Security</x:v>
      </x:c>
      <x:c r="D446" s="17" t="str">
        <x:v>Web SaaS + Plugin</x:v>
      </x:c>
      <x:c r="E446" s="17" t="str">
        <x:v>Website owners and agencies</x:v>
      </x:c>
      <x:c r="F446" s="18" t="str">
        <x:v>TLS Configuration Monitor provides a focused website and domain security workflow for website owners and agencies.</x:v>
      </x:c>
      <x:c r="G446" s="18" t="str">
        <x:v>Website Scan, DNS, TLS, Monitoring, Alerts</x:v>
      </x:c>
      <x:c r="H446" s="17" t="str">
        <x:v>Subscription + Pro</x:v>
      </x:c>
      <x:c r="I446" s="17" t="str">
        <x:v>Medium</x:v>
      </x:c>
      <x:c r="J446" s="17" t="str">
        <x:v>New candidate</x:v>
      </x:c>
      <x:c r="K446" s="17" t="str">
        <x:v>Unreviewed</x:v>
      </x:c>
      <x:c r="L446" s="17"/>
      <x:c r="M446" s="17"/>
      <x:c r="N446" s="17"/>
      <x:c r="O446" s="17"/>
      <x:c r="P446" s="17"/>
      <x:c r="Q446" s="17" t="str">
        <x:f>IF(COUNT(L446:P446)&lt;5,"",ROUND((L446*25+M446*20+N446*20+O446*20+P446*15)/5,1))</x:f>
      </x:c>
      <x:c r="R446" s="18" t="str"/>
      <x:c r="S446" s="18" t="str"/>
      <x:c r="T446" s="17" t="str"/>
      <x:c r="U446" s="19"/>
    </x:row>
    <x:row r="447">
      <x:c r="A447" s="17" t="str">
        <x:v>MTS-0446</x:v>
      </x:c>
      <x:c r="B447" s="17" t="str">
        <x:v>Security Header Monitor</x:v>
      </x:c>
      <x:c r="C447" s="17" t="str">
        <x:v>Website and Domain Security</x:v>
      </x:c>
      <x:c r="D447" s="17" t="str">
        <x:v>Web SaaS + Plugin</x:v>
      </x:c>
      <x:c r="E447" s="17" t="str">
        <x:v>Website owners and agencies</x:v>
      </x:c>
      <x:c r="F447" s="18" t="str">
        <x:v>Security Header Monitor provides a focused website and domain security workflow for website owners and agencies.</x:v>
      </x:c>
      <x:c r="G447" s="18" t="str">
        <x:v>Website Scan, DNS, TLS, Monitoring, Alerts</x:v>
      </x:c>
      <x:c r="H447" s="17" t="str">
        <x:v>Subscription + Pro</x:v>
      </x:c>
      <x:c r="I447" s="17" t="str">
        <x:v>Medium</x:v>
      </x:c>
      <x:c r="J447" s="17" t="str">
        <x:v>New candidate</x:v>
      </x:c>
      <x:c r="K447" s="17" t="str">
        <x:v>Unreviewed</x:v>
      </x:c>
      <x:c r="L447" s="17"/>
      <x:c r="M447" s="17"/>
      <x:c r="N447" s="17"/>
      <x:c r="O447" s="17"/>
      <x:c r="P447" s="17"/>
      <x:c r="Q447" s="17" t="str">
        <x:f>IF(COUNT(L447:P447)&lt;5,"",ROUND((L447*25+M447*20+N447*20+O447*20+P447*15)/5,1))</x:f>
      </x:c>
      <x:c r="R447" s="18" t="str"/>
      <x:c r="S447" s="18" t="str"/>
      <x:c r="T447" s="17" t="str"/>
      <x:c r="U447" s="19"/>
    </x:row>
    <x:row r="448">
      <x:c r="A448" s="17" t="str">
        <x:v>MTS-0447</x:v>
      </x:c>
      <x:c r="B448" s="17" t="str">
        <x:v>Domain Lock Checker</x:v>
      </x:c>
      <x:c r="C448" s="17" t="str">
        <x:v>Website and Domain Security</x:v>
      </x:c>
      <x:c r="D448" s="17" t="str">
        <x:v>Web SaaS + Plugin</x:v>
      </x:c>
      <x:c r="E448" s="17" t="str">
        <x:v>Website owners and agencies</x:v>
      </x:c>
      <x:c r="F448" s="18" t="str">
        <x:v>Domain Lock Checker provides a focused website and domain security workflow for website owners and agencies.</x:v>
      </x:c>
      <x:c r="G448" s="18" t="str">
        <x:v>Website Scan, DNS, TLS, Monitoring, Alerts</x:v>
      </x:c>
      <x:c r="H448" s="17" t="str">
        <x:v>Subscription + Pro</x:v>
      </x:c>
      <x:c r="I448" s="17" t="str">
        <x:v>Medium</x:v>
      </x:c>
      <x:c r="J448" s="17" t="str">
        <x:v>New candidate</x:v>
      </x:c>
      <x:c r="K448" s="17" t="str">
        <x:v>Unreviewed</x:v>
      </x:c>
      <x:c r="L448" s="17"/>
      <x:c r="M448" s="17"/>
      <x:c r="N448" s="17"/>
      <x:c r="O448" s="17"/>
      <x:c r="P448" s="17"/>
      <x:c r="Q448" s="17" t="str">
        <x:f>IF(COUNT(L448:P448)&lt;5,"",ROUND((L448*25+M448*20+N448*20+O448*20+P448*15)/5,1))</x:f>
      </x:c>
      <x:c r="R448" s="18" t="str"/>
      <x:c r="S448" s="18" t="str"/>
      <x:c r="T448" s="17" t="str"/>
      <x:c r="U448" s="19"/>
    </x:row>
    <x:row r="449">
      <x:c r="A449" s="17" t="str">
        <x:v>MTS-0448</x:v>
      </x:c>
      <x:c r="B449" s="17" t="str">
        <x:v>DNS Change Watch</x:v>
      </x:c>
      <x:c r="C449" s="17" t="str">
        <x:v>Website and Domain Security</x:v>
      </x:c>
      <x:c r="D449" s="17" t="str">
        <x:v>Web SaaS + Plugin</x:v>
      </x:c>
      <x:c r="E449" s="17" t="str">
        <x:v>Website owners and agencies</x:v>
      </x:c>
      <x:c r="F449" s="18" t="str">
        <x:v>DNS Change Watch provides a focused website and domain security workflow for website owners and agencies.</x:v>
      </x:c>
      <x:c r="G449" s="18" t="str">
        <x:v>Website Scan, DNS, TLS, Monitoring, Alerts</x:v>
      </x:c>
      <x:c r="H449" s="17" t="str">
        <x:v>Subscription + Pro</x:v>
      </x:c>
      <x:c r="I449" s="17" t="str">
        <x:v>Medium</x:v>
      </x:c>
      <x:c r="J449" s="17" t="str">
        <x:v>New candidate</x:v>
      </x:c>
      <x:c r="K449" s="17" t="str">
        <x:v>Unreviewed</x:v>
      </x:c>
      <x:c r="L449" s="17"/>
      <x:c r="M449" s="17"/>
      <x:c r="N449" s="17"/>
      <x:c r="O449" s="17"/>
      <x:c r="P449" s="17"/>
      <x:c r="Q449" s="17" t="str">
        <x:f>IF(COUNT(L449:P449)&lt;5,"",ROUND((L449*25+M449*20+N449*20+O449*20+P449*15)/5,1))</x:f>
      </x:c>
      <x:c r="R449" s="18" t="str"/>
      <x:c r="S449" s="18" t="str"/>
      <x:c r="T449" s="17" t="str"/>
      <x:c r="U449" s="19"/>
    </x:row>
    <x:row r="450">
      <x:c r="A450" s="17" t="str">
        <x:v>MTS-0449</x:v>
      </x:c>
      <x:c r="B450" s="17" t="str">
        <x:v>Website Malware Scan Organizer</x:v>
      </x:c>
      <x:c r="C450" s="17" t="str">
        <x:v>Website and Domain Security</x:v>
      </x:c>
      <x:c r="D450" s="17" t="str">
        <x:v>Web SaaS + Plugin</x:v>
      </x:c>
      <x:c r="E450" s="17" t="str">
        <x:v>Website owners and agencies</x:v>
      </x:c>
      <x:c r="F450" s="18" t="str">
        <x:v>Website Malware Scan Organizer provides a focused website and domain security workflow for website owners and agencies.</x:v>
      </x:c>
      <x:c r="G450" s="18" t="str">
        <x:v>Website Scan, DNS, TLS, Monitoring, Alerts</x:v>
      </x:c>
      <x:c r="H450" s="17" t="str">
        <x:v>Subscription + Pro</x:v>
      </x:c>
      <x:c r="I450" s="17" t="str">
        <x:v>Medium</x:v>
      </x:c>
      <x:c r="J450" s="17" t="str">
        <x:v>New candidate</x:v>
      </x:c>
      <x:c r="K450" s="17" t="str">
        <x:v>Unreviewed</x:v>
      </x:c>
      <x:c r="L450" s="17"/>
      <x:c r="M450" s="17"/>
      <x:c r="N450" s="17"/>
      <x:c r="O450" s="17"/>
      <x:c r="P450" s="17"/>
      <x:c r="Q450" s="17" t="str">
        <x:f>IF(COUNT(L450:P450)&lt;5,"",ROUND((L450*25+M450*20+N450*20+O450*20+P450*15)/5,1))</x:f>
      </x:c>
      <x:c r="R450" s="18" t="str"/>
      <x:c r="S450" s="18" t="str"/>
      <x:c r="T450" s="17" t="str"/>
      <x:c r="U450" s="19"/>
    </x:row>
    <x:row r="451">
      <x:c r="A451" s="17" t="str">
        <x:v>MTS-0450</x:v>
      </x:c>
      <x:c r="B451" s="17" t="str">
        <x:v>CMS Update Monitor</x:v>
      </x:c>
      <x:c r="C451" s="17" t="str">
        <x:v>Website and Domain Security</x:v>
      </x:c>
      <x:c r="D451" s="17" t="str">
        <x:v>Web SaaS + Plugin</x:v>
      </x:c>
      <x:c r="E451" s="17" t="str">
        <x:v>Website owners and agencies</x:v>
      </x:c>
      <x:c r="F451" s="18" t="str">
        <x:v>CMS Update Monitor provides a focused website and domain security workflow for website owners and agencies.</x:v>
      </x:c>
      <x:c r="G451" s="18" t="str">
        <x:v>Website Scan, DNS, TLS, Monitoring, Alerts</x:v>
      </x:c>
      <x:c r="H451" s="17" t="str">
        <x:v>Subscription + Pro</x:v>
      </x:c>
      <x:c r="I451" s="17" t="str">
        <x:v>Medium</x:v>
      </x:c>
      <x:c r="J451" s="17" t="str">
        <x:v>New candidate</x:v>
      </x:c>
      <x:c r="K451" s="17" t="str">
        <x:v>Unreviewed</x:v>
      </x:c>
      <x:c r="L451" s="17"/>
      <x:c r="M451" s="17"/>
      <x:c r="N451" s="17"/>
      <x:c r="O451" s="17"/>
      <x:c r="P451" s="17"/>
      <x:c r="Q451" s="17" t="str">
        <x:f>IF(COUNT(L451:P451)&lt;5,"",ROUND((L451*25+M451*20+N451*20+O451*20+P451*15)/5,1))</x:f>
      </x:c>
      <x:c r="R451" s="18" t="str"/>
      <x:c r="S451" s="18" t="str"/>
      <x:c r="T451" s="17" t="str"/>
      <x:c r="U451" s="19"/>
    </x:row>
    <x:row r="452">
      <x:c r="A452" s="17" t="str">
        <x:v>MTS-0451</x:v>
      </x:c>
      <x:c r="B452" s="17" t="str">
        <x:v>Exposed Admin Page Finder</x:v>
      </x:c>
      <x:c r="C452" s="17" t="str">
        <x:v>Website and Domain Security</x:v>
      </x:c>
      <x:c r="D452" s="17" t="str">
        <x:v>Web SaaS + Plugin</x:v>
      </x:c>
      <x:c r="E452" s="17" t="str">
        <x:v>Website owners and agencies</x:v>
      </x:c>
      <x:c r="F452" s="18" t="str">
        <x:v>Exposed Admin Page Finder provides a focused website and domain security workflow for website owners and agencies.</x:v>
      </x:c>
      <x:c r="G452" s="18" t="str">
        <x:v>Website Scan, DNS, TLS, Monitoring, Alerts</x:v>
      </x:c>
      <x:c r="H452" s="17" t="str">
        <x:v>Subscription + Pro</x:v>
      </x:c>
      <x:c r="I452" s="17" t="str">
        <x:v>Medium</x:v>
      </x:c>
      <x:c r="J452" s="17" t="str">
        <x:v>New candidate</x:v>
      </x:c>
      <x:c r="K452" s="17" t="str">
        <x:v>Unreviewed</x:v>
      </x:c>
      <x:c r="L452" s="17"/>
      <x:c r="M452" s="17"/>
      <x:c r="N452" s="17"/>
      <x:c r="O452" s="17"/>
      <x:c r="P452" s="17"/>
      <x:c r="Q452" s="17" t="str">
        <x:f>IF(COUNT(L452:P452)&lt;5,"",ROUND((L452*25+M452*20+N452*20+O452*20+P452*15)/5,1))</x:f>
      </x:c>
      <x:c r="R452" s="18" t="str"/>
      <x:c r="S452" s="18" t="str"/>
      <x:c r="T452" s="17" t="str"/>
      <x:c r="U452" s="19"/>
    </x:row>
    <x:row r="453">
      <x:c r="A453" s="17" t="str">
        <x:v>MTS-0452</x:v>
      </x:c>
      <x:c r="B453" s="17" t="str">
        <x:v>Form Security Checklist</x:v>
      </x:c>
      <x:c r="C453" s="17" t="str">
        <x:v>Website and Domain Security</x:v>
      </x:c>
      <x:c r="D453" s="17" t="str">
        <x:v>Web SaaS + Plugin</x:v>
      </x:c>
      <x:c r="E453" s="17" t="str">
        <x:v>Website owners and agencies</x:v>
      </x:c>
      <x:c r="F453" s="18" t="str">
        <x:v>Form Security Checklist provides a focused website and domain security workflow for website owners and agencies.</x:v>
      </x:c>
      <x:c r="G453" s="18" t="str">
        <x:v>Website Scan, DNS, TLS, Monitoring, Alerts</x:v>
      </x:c>
      <x:c r="H453" s="17" t="str">
        <x:v>Subscription + Pro</x:v>
      </x:c>
      <x:c r="I453" s="17" t="str">
        <x:v>Medium</x:v>
      </x:c>
      <x:c r="J453" s="17" t="str">
        <x:v>New candidate</x:v>
      </x:c>
      <x:c r="K453" s="17" t="str">
        <x:v>Unreviewed</x:v>
      </x:c>
      <x:c r="L453" s="17"/>
      <x:c r="M453" s="17"/>
      <x:c r="N453" s="17"/>
      <x:c r="O453" s="17"/>
      <x:c r="P453" s="17"/>
      <x:c r="Q453" s="17" t="str">
        <x:f>IF(COUNT(L453:P453)&lt;5,"",ROUND((L453*25+M453*20+N453*20+O453*20+P453*15)/5,1))</x:f>
      </x:c>
      <x:c r="R453" s="18" t="str"/>
      <x:c r="S453" s="18" t="str"/>
      <x:c r="T453" s="17" t="str"/>
      <x:c r="U453" s="19"/>
    </x:row>
    <x:row r="454">
      <x:c r="A454" s="17" t="str">
        <x:v>MTS-0453</x:v>
      </x:c>
      <x:c r="B454" s="17" t="str">
        <x:v>Cookie Security Auditor</x:v>
      </x:c>
      <x:c r="C454" s="17" t="str">
        <x:v>Website and Domain Security</x:v>
      </x:c>
      <x:c r="D454" s="17" t="str">
        <x:v>Web SaaS + Plugin</x:v>
      </x:c>
      <x:c r="E454" s="17" t="str">
        <x:v>Website owners and agencies</x:v>
      </x:c>
      <x:c r="F454" s="18" t="str">
        <x:v>Cookie Security Auditor provides a focused website and domain security workflow for website owners and agencies.</x:v>
      </x:c>
      <x:c r="G454" s="18" t="str">
        <x:v>Website Scan, DNS, TLS, Monitoring, Alerts</x:v>
      </x:c>
      <x:c r="H454" s="17" t="str">
        <x:v>Subscription + Pro</x:v>
      </x:c>
      <x:c r="I454" s="17" t="str">
        <x:v>Medium</x:v>
      </x:c>
      <x:c r="J454" s="17" t="str">
        <x:v>New candidate</x:v>
      </x:c>
      <x:c r="K454" s="17" t="str">
        <x:v>Unreviewed</x:v>
      </x:c>
      <x:c r="L454" s="17"/>
      <x:c r="M454" s="17"/>
      <x:c r="N454" s="17"/>
      <x:c r="O454" s="17"/>
      <x:c r="P454" s="17"/>
      <x:c r="Q454" s="17" t="str">
        <x:f>IF(COUNT(L454:P454)&lt;5,"",ROUND((L454*25+M454*20+N454*20+O454*20+P454*15)/5,1))</x:f>
      </x:c>
      <x:c r="R454" s="18" t="str"/>
      <x:c r="S454" s="18" t="str"/>
      <x:c r="T454" s="17" t="str"/>
      <x:c r="U454" s="19"/>
    </x:row>
    <x:row r="455">
      <x:c r="A455" s="17" t="str">
        <x:v>MTS-0454</x:v>
      </x:c>
      <x:c r="B455" s="17" t="str">
        <x:v>Dependency Vulnerability Digest</x:v>
      </x:c>
      <x:c r="C455" s="17" t="str">
        <x:v>Website and Domain Security</x:v>
      </x:c>
      <x:c r="D455" s="17" t="str">
        <x:v>Web SaaS + Plugin</x:v>
      </x:c>
      <x:c r="E455" s="17" t="str">
        <x:v>Website owners and agencies</x:v>
      </x:c>
      <x:c r="F455" s="18" t="str">
        <x:v>Dependency Vulnerability Digest provides a focused website and domain security workflow for website owners and agencies.</x:v>
      </x:c>
      <x:c r="G455" s="18" t="str">
        <x:v>Website Scan, DNS, TLS, Monitoring, Alerts</x:v>
      </x:c>
      <x:c r="H455" s="17" t="str">
        <x:v>Subscription + Pro</x:v>
      </x:c>
      <x:c r="I455" s="17" t="str">
        <x:v>Medium</x:v>
      </x:c>
      <x:c r="J455" s="17" t="str">
        <x:v>New candidate</x:v>
      </x:c>
      <x:c r="K455" s="17" t="str">
        <x:v>Unreviewed</x:v>
      </x:c>
      <x:c r="L455" s="17"/>
      <x:c r="M455" s="17"/>
      <x:c r="N455" s="17"/>
      <x:c r="O455" s="17"/>
      <x:c r="P455" s="17"/>
      <x:c r="Q455" s="17" t="str">
        <x:f>IF(COUNT(L455:P455)&lt;5,"",ROUND((L455*25+M455*20+N455*20+O455*20+P455*15)/5,1))</x:f>
      </x:c>
      <x:c r="R455" s="18" t="str"/>
      <x:c r="S455" s="18" t="str"/>
      <x:c r="T455" s="17" t="str"/>
      <x:c r="U455" s="19"/>
    </x:row>
    <x:row r="456">
      <x:c r="A456" s="17" t="str">
        <x:v>MTS-0455</x:v>
      </x:c>
      <x:c r="B456" s="17" t="str">
        <x:v>Website Backup Test Log</x:v>
      </x:c>
      <x:c r="C456" s="17" t="str">
        <x:v>Website and Domain Security</x:v>
      </x:c>
      <x:c r="D456" s="17" t="str">
        <x:v>Web SaaS + Plugin</x:v>
      </x:c>
      <x:c r="E456" s="17" t="str">
        <x:v>Website owners and agencies</x:v>
      </x:c>
      <x:c r="F456" s="18" t="str">
        <x:v>Website Backup Test Log provides a focused website and domain security workflow for website owners and agencies.</x:v>
      </x:c>
      <x:c r="G456" s="18" t="str">
        <x:v>Website Scan, DNS, TLS, Monitoring, Alerts</x:v>
      </x:c>
      <x:c r="H456" s="17" t="str">
        <x:v>Subscription + Pro</x:v>
      </x:c>
      <x:c r="I456" s="17" t="str">
        <x:v>Medium</x:v>
      </x:c>
      <x:c r="J456" s="17" t="str">
        <x:v>New candidate</x:v>
      </x:c>
      <x:c r="K456" s="17" t="str">
        <x:v>Unreviewed</x:v>
      </x:c>
      <x:c r="L456" s="17"/>
      <x:c r="M456" s="17"/>
      <x:c r="N456" s="17"/>
      <x:c r="O456" s="17"/>
      <x:c r="P456" s="17"/>
      <x:c r="Q456" s="17" t="str">
        <x:f>IF(COUNT(L456:P456)&lt;5,"",ROUND((L456*25+M456*20+N456*20+O456*20+P456*15)/5,1))</x:f>
      </x:c>
      <x:c r="R456" s="18" t="str"/>
      <x:c r="S456" s="18" t="str"/>
      <x:c r="T456" s="17" t="str"/>
      <x:c r="U456" s="19"/>
    </x:row>
    <x:row r="457">
      <x:c r="A457" s="17" t="str">
        <x:v>MTS-0456</x:v>
      </x:c>
      <x:c r="B457" s="17" t="str">
        <x:v>Domain Takeover Risk Checker</x:v>
      </x:c>
      <x:c r="C457" s="17" t="str">
        <x:v>Website and Domain Security</x:v>
      </x:c>
      <x:c r="D457" s="17" t="str">
        <x:v>Web SaaS + Plugin</x:v>
      </x:c>
      <x:c r="E457" s="17" t="str">
        <x:v>Website owners and agencies</x:v>
      </x:c>
      <x:c r="F457" s="18" t="str">
        <x:v>Domain Takeover Risk Checker provides a focused website and domain security workflow for website owners and agencies.</x:v>
      </x:c>
      <x:c r="G457" s="18" t="str">
        <x:v>Website Scan, DNS, TLS, Monitoring, Alerts</x:v>
      </x:c>
      <x:c r="H457" s="17" t="str">
        <x:v>Subscription + Pro</x:v>
      </x:c>
      <x:c r="I457" s="17" t="str">
        <x:v>Medium</x:v>
      </x:c>
      <x:c r="J457" s="17" t="str">
        <x:v>New candidate</x:v>
      </x:c>
      <x:c r="K457" s="17" t="str">
        <x:v>Unreviewed</x:v>
      </x:c>
      <x:c r="L457" s="17"/>
      <x:c r="M457" s="17"/>
      <x:c r="N457" s="17"/>
      <x:c r="O457" s="17"/>
      <x:c r="P457" s="17"/>
      <x:c r="Q457" s="17" t="str">
        <x:f>IF(COUNT(L457:P457)&lt;5,"",ROUND((L457*25+M457*20+N457*20+O457*20+P457*15)/5,1))</x:f>
      </x:c>
      <x:c r="R457" s="18" t="str"/>
      <x:c r="S457" s="18" t="str"/>
      <x:c r="T457" s="17" t="str"/>
      <x:c r="U457" s="19"/>
    </x:row>
    <x:row r="458">
      <x:c r="A458" s="17" t="str">
        <x:v>MTS-0457</x:v>
      </x:c>
      <x:c r="B458" s="17" t="str">
        <x:v>Backup Coverage Mapper</x:v>
      </x:c>
      <x:c r="C458" s="17" t="str">
        <x:v>Cloud Backup and Recovery</x:v>
      </x:c>
      <x:c r="D458" s="17" t="str">
        <x:v>Mobile + Desktop</x:v>
      </x:c>
      <x:c r="E458" s="17" t="str">
        <x:v>Consumers and small businesses</x:v>
      </x:c>
      <x:c r="F458" s="18" t="str">
        <x:v>Backup Coverage Mapper provides a focused cloud backup and recovery workflow for consumers and small businesses.</x:v>
      </x:c>
      <x:c r="G458" s="18" t="str">
        <x:v>Backup Inventory, Restore Tests, Reminders, Reports</x:v>
      </x:c>
      <x:c r="H458" s="17" t="str">
        <x:v>Subscription + Pro</x:v>
      </x:c>
      <x:c r="I458" s="17" t="str">
        <x:v>Medium</x:v>
      </x:c>
      <x:c r="J458" s="17" t="str">
        <x:v>New candidate</x:v>
      </x:c>
      <x:c r="K458" s="17" t="str">
        <x:v>Unreviewed</x:v>
      </x:c>
      <x:c r="L458" s="17"/>
      <x:c r="M458" s="17"/>
      <x:c r="N458" s="17"/>
      <x:c r="O458" s="17"/>
      <x:c r="P458" s="17"/>
      <x:c r="Q458" s="17" t="str">
        <x:f>IF(COUNT(L458:P458)&lt;5,"",ROUND((L458*25+M458*20+N458*20+O458*20+P458*15)/5,1))</x:f>
      </x:c>
      <x:c r="R458" s="18" t="str"/>
      <x:c r="S458" s="18" t="str"/>
      <x:c r="T458" s="17" t="str"/>
      <x:c r="U458" s="19"/>
    </x:row>
    <x:row r="459">
      <x:c r="A459" s="17" t="str">
        <x:v>MTS-0458</x:v>
      </x:c>
      <x:c r="B459" s="17" t="str">
        <x:v>Restore Test Scheduler</x:v>
      </x:c>
      <x:c r="C459" s="17" t="str">
        <x:v>Cloud Backup and Recovery</x:v>
      </x:c>
      <x:c r="D459" s="17" t="str">
        <x:v>Mobile + Desktop</x:v>
      </x:c>
      <x:c r="E459" s="17" t="str">
        <x:v>Consumers and small businesses</x:v>
      </x:c>
      <x:c r="F459" s="18" t="str">
        <x:v>Restore Test Scheduler provides a focused cloud backup and recovery workflow for consumers and small businesses.</x:v>
      </x:c>
      <x:c r="G459" s="18" t="str">
        <x:v>Backup Inventory, Restore Tests, Reminders, Reports</x:v>
      </x:c>
      <x:c r="H459" s="17" t="str">
        <x:v>Subscription + Pro</x:v>
      </x:c>
      <x:c r="I459" s="17" t="str">
        <x:v>Medium</x:v>
      </x:c>
      <x:c r="J459" s="17" t="str">
        <x:v>New candidate</x:v>
      </x:c>
      <x:c r="K459" s="17" t="str">
        <x:v>Unreviewed</x:v>
      </x:c>
      <x:c r="L459" s="17"/>
      <x:c r="M459" s="17"/>
      <x:c r="N459" s="17"/>
      <x:c r="O459" s="17"/>
      <x:c r="P459" s="17"/>
      <x:c r="Q459" s="17" t="str">
        <x:f>IF(COUNT(L459:P459)&lt;5,"",ROUND((L459*25+M459*20+N459*20+O459*20+P459*15)/5,1))</x:f>
      </x:c>
      <x:c r="R459" s="18" t="str"/>
      <x:c r="S459" s="18" t="str"/>
      <x:c r="T459" s="17" t="str"/>
      <x:c r="U459" s="19"/>
    </x:row>
    <x:row r="460">
      <x:c r="A460" s="17" t="str">
        <x:v>MTS-0459</x:v>
      </x:c>
      <x:c r="B460" s="17" t="str">
        <x:v>Cloud Storage Exposure Review</x:v>
      </x:c>
      <x:c r="C460" s="17" t="str">
        <x:v>Cloud Backup and Recovery</x:v>
      </x:c>
      <x:c r="D460" s="17" t="str">
        <x:v>Mobile + Desktop</x:v>
      </x:c>
      <x:c r="E460" s="17" t="str">
        <x:v>Consumers and small businesses</x:v>
      </x:c>
      <x:c r="F460" s="18" t="str">
        <x:v>Cloud Storage Exposure Review provides a focused cloud backup and recovery workflow for consumers and small businesses.</x:v>
      </x:c>
      <x:c r="G460" s="18" t="str">
        <x:v>Backup Inventory, Restore Tests, Reminders, Reports</x:v>
      </x:c>
      <x:c r="H460" s="17" t="str">
        <x:v>Subscription + Pro</x:v>
      </x:c>
      <x:c r="I460" s="17" t="str">
        <x:v>Medium</x:v>
      </x:c>
      <x:c r="J460" s="17" t="str">
        <x:v>New candidate</x:v>
      </x:c>
      <x:c r="K460" s="17" t="str">
        <x:v>Unreviewed</x:v>
      </x:c>
      <x:c r="L460" s="17"/>
      <x:c r="M460" s="17"/>
      <x:c r="N460" s="17"/>
      <x:c r="O460" s="17"/>
      <x:c r="P460" s="17"/>
      <x:c r="Q460" s="17" t="str">
        <x:f>IF(COUNT(L460:P460)&lt;5,"",ROUND((L460*25+M460*20+N460*20+O460*20+P460*15)/5,1))</x:f>
      </x:c>
      <x:c r="R460" s="18" t="str"/>
      <x:c r="S460" s="18" t="str"/>
      <x:c r="T460" s="17" t="str"/>
      <x:c r="U460" s="19"/>
    </x:row>
    <x:row r="461">
      <x:c r="A461" s="17" t="str">
        <x:v>MTS-0460</x:v>
      </x:c>
      <x:c r="B461" s="17" t="str">
        <x:v>Backup Version Monitor</x:v>
      </x:c>
      <x:c r="C461" s="17" t="str">
        <x:v>Cloud Backup and Recovery</x:v>
      </x:c>
      <x:c r="D461" s="17" t="str">
        <x:v>Mobile + Desktop</x:v>
      </x:c>
      <x:c r="E461" s="17" t="str">
        <x:v>Consumers and small businesses</x:v>
      </x:c>
      <x:c r="F461" s="18" t="str">
        <x:v>Backup Version Monitor provides a focused cloud backup and recovery workflow for consumers and small businesses.</x:v>
      </x:c>
      <x:c r="G461" s="18" t="str">
        <x:v>Backup Inventory, Restore Tests, Reminders, Reports</x:v>
      </x:c>
      <x:c r="H461" s="17" t="str">
        <x:v>Subscription + Pro</x:v>
      </x:c>
      <x:c r="I461" s="17" t="str">
        <x:v>Medium</x:v>
      </x:c>
      <x:c r="J461" s="17" t="str">
        <x:v>New candidate</x:v>
      </x:c>
      <x:c r="K461" s="17" t="str">
        <x:v>Unreviewed</x:v>
      </x:c>
      <x:c r="L461" s="17"/>
      <x:c r="M461" s="17"/>
      <x:c r="N461" s="17"/>
      <x:c r="O461" s="17"/>
      <x:c r="P461" s="17"/>
      <x:c r="Q461" s="17" t="str">
        <x:f>IF(COUNT(L461:P461)&lt;5,"",ROUND((L461*25+M461*20+N461*20+O461*20+P461*15)/5,1))</x:f>
      </x:c>
      <x:c r="R461" s="18" t="str"/>
      <x:c r="S461" s="18" t="str"/>
      <x:c r="T461" s="17" t="str"/>
      <x:c r="U461" s="19"/>
    </x:row>
    <x:row r="462">
      <x:c r="A462" s="17" t="str">
        <x:v>MTS-0461</x:v>
      </x:c>
      <x:c r="B462" s="17" t="str">
        <x:v>Ransomware Recovery Planner</x:v>
      </x:c>
      <x:c r="C462" s="17" t="str">
        <x:v>Cloud Backup and Recovery</x:v>
      </x:c>
      <x:c r="D462" s="17" t="str">
        <x:v>Mobile + Desktop</x:v>
      </x:c>
      <x:c r="E462" s="17" t="str">
        <x:v>Consumers and small businesses</x:v>
      </x:c>
      <x:c r="F462" s="18" t="str">
        <x:v>Ransomware Recovery Planner provides a focused cloud backup and recovery workflow for consumers and small businesses.</x:v>
      </x:c>
      <x:c r="G462" s="18" t="str">
        <x:v>Backup Inventory, Restore Tests, Reminders, Reports</x:v>
      </x:c>
      <x:c r="H462" s="17" t="str">
        <x:v>Subscription + Pro</x:v>
      </x:c>
      <x:c r="I462" s="17" t="str">
        <x:v>Medium</x:v>
      </x:c>
      <x:c r="J462" s="17" t="str">
        <x:v>New candidate</x:v>
      </x:c>
      <x:c r="K462" s="17" t="str">
        <x:v>Unreviewed</x:v>
      </x:c>
      <x:c r="L462" s="17"/>
      <x:c r="M462" s="17"/>
      <x:c r="N462" s="17"/>
      <x:c r="O462" s="17"/>
      <x:c r="P462" s="17"/>
      <x:c r="Q462" s="17" t="str">
        <x:f>IF(COUNT(L462:P462)&lt;5,"",ROUND((L462*25+M462*20+N462*20+O462*20+P462*15)/5,1))</x:f>
      </x:c>
      <x:c r="R462" s="18" t="str"/>
      <x:c r="S462" s="18" t="str"/>
      <x:c r="T462" s="17" t="str"/>
      <x:c r="U462" s="19"/>
    </x:row>
    <x:row r="463">
      <x:c r="A463" s="17" t="str">
        <x:v>MTS-0462</x:v>
      </x:c>
      <x:c r="B463" s="17" t="str">
        <x:v>Family Photo Backup Auditor</x:v>
      </x:c>
      <x:c r="C463" s="17" t="str">
        <x:v>Cloud Backup and Recovery</x:v>
      </x:c>
      <x:c r="D463" s="17" t="str">
        <x:v>Mobile + Desktop</x:v>
      </x:c>
      <x:c r="E463" s="17" t="str">
        <x:v>Consumers and small businesses</x:v>
      </x:c>
      <x:c r="F463" s="18" t="str">
        <x:v>Family Photo Backup Auditor provides a focused cloud backup and recovery workflow for consumers and small businesses.</x:v>
      </x:c>
      <x:c r="G463" s="18" t="str">
        <x:v>Backup Inventory, Restore Tests, Reminders, Reports</x:v>
      </x:c>
      <x:c r="H463" s="17" t="str">
        <x:v>Subscription + Pro</x:v>
      </x:c>
      <x:c r="I463" s="17" t="str">
        <x:v>Medium</x:v>
      </x:c>
      <x:c r="J463" s="17" t="str">
        <x:v>New candidate</x:v>
      </x:c>
      <x:c r="K463" s="17" t="str">
        <x:v>Unreviewed</x:v>
      </x:c>
      <x:c r="L463" s="17"/>
      <x:c r="M463" s="17"/>
      <x:c r="N463" s="17"/>
      <x:c r="O463" s="17"/>
      <x:c r="P463" s="17"/>
      <x:c r="Q463" s="17" t="str">
        <x:f>IF(COUNT(L463:P463)&lt;5,"",ROUND((L463*25+M463*20+N463*20+O463*20+P463*15)/5,1))</x:f>
      </x:c>
      <x:c r="R463" s="18" t="str"/>
      <x:c r="S463" s="18" t="str"/>
      <x:c r="T463" s="17" t="str"/>
      <x:c r="U463" s="19"/>
    </x:row>
    <x:row r="464">
      <x:c r="A464" s="17" t="str">
        <x:v>MTS-0463</x:v>
      </x:c>
      <x:c r="B464" s="17" t="str">
        <x:v>Device Backup Status Dashboard</x:v>
      </x:c>
      <x:c r="C464" s="17" t="str">
        <x:v>Cloud Backup and Recovery</x:v>
      </x:c>
      <x:c r="D464" s="17" t="str">
        <x:v>Mobile + Desktop</x:v>
      </x:c>
      <x:c r="E464" s="17" t="str">
        <x:v>Consumers and small businesses</x:v>
      </x:c>
      <x:c r="F464" s="18" t="str">
        <x:v>Device Backup Status Dashboard provides a focused cloud backup and recovery workflow for consumers and small businesses.</x:v>
      </x:c>
      <x:c r="G464" s="18" t="str">
        <x:v>Backup Inventory, Restore Tests, Reminders, Reports</x:v>
      </x:c>
      <x:c r="H464" s="17" t="str">
        <x:v>Subscription + Pro</x:v>
      </x:c>
      <x:c r="I464" s="17" t="str">
        <x:v>Medium</x:v>
      </x:c>
      <x:c r="J464" s="17" t="str">
        <x:v>New candidate</x:v>
      </x:c>
      <x:c r="K464" s="17" t="str">
        <x:v>Unreviewed</x:v>
      </x:c>
      <x:c r="L464" s="17"/>
      <x:c r="M464" s="17"/>
      <x:c r="N464" s="17"/>
      <x:c r="O464" s="17"/>
      <x:c r="P464" s="17"/>
      <x:c r="Q464" s="17" t="str">
        <x:f>IF(COUNT(L464:P464)&lt;5,"",ROUND((L464*25+M464*20+N464*20+O464*20+P464*15)/5,1))</x:f>
      </x:c>
      <x:c r="R464" s="18" t="str"/>
      <x:c r="S464" s="18" t="str"/>
      <x:c r="T464" s="17" t="str"/>
      <x:c r="U464" s="19"/>
    </x:row>
    <x:row r="465">
      <x:c r="A465" s="17" t="str">
        <x:v>MTS-0464</x:v>
      </x:c>
      <x:c r="B465" s="17" t="str">
        <x:v>Business Backup Evidence Report</x:v>
      </x:c>
      <x:c r="C465" s="17" t="str">
        <x:v>Cloud Backup and Recovery</x:v>
      </x:c>
      <x:c r="D465" s="17" t="str">
        <x:v>Mobile + Desktop</x:v>
      </x:c>
      <x:c r="E465" s="17" t="str">
        <x:v>Consumers and small businesses</x:v>
      </x:c>
      <x:c r="F465" s="18" t="str">
        <x:v>Business Backup Evidence Report provides a focused cloud backup and recovery workflow for consumers and small businesses.</x:v>
      </x:c>
      <x:c r="G465" s="18" t="str">
        <x:v>Backup Inventory, Restore Tests, Reminders, Reports</x:v>
      </x:c>
      <x:c r="H465" s="17" t="str">
        <x:v>Subscription + Pro</x:v>
      </x:c>
      <x:c r="I465" s="17" t="str">
        <x:v>Medium</x:v>
      </x:c>
      <x:c r="J465" s="17" t="str">
        <x:v>New candidate</x:v>
      </x:c>
      <x:c r="K465" s="17" t="str">
        <x:v>Unreviewed</x:v>
      </x:c>
      <x:c r="L465" s="17"/>
      <x:c r="M465" s="17"/>
      <x:c r="N465" s="17"/>
      <x:c r="O465" s="17"/>
      <x:c r="P465" s="17"/>
      <x:c r="Q465" s="17" t="str">
        <x:f>IF(COUNT(L465:P465)&lt;5,"",ROUND((L465*25+M465*20+N465*20+O465*20+P465*15)/5,1))</x:f>
      </x:c>
      <x:c r="R465" s="18" t="str"/>
      <x:c r="S465" s="18" t="str"/>
      <x:c r="T465" s="17" t="str"/>
      <x:c r="U465" s="19"/>
    </x:row>
    <x:row r="466">
      <x:c r="A466" s="17" t="str">
        <x:v>MTS-0465</x:v>
      </x:c>
      <x:c r="B466" s="17" t="str">
        <x:v>Offline Backup Rotation Tracker</x:v>
      </x:c>
      <x:c r="C466" s="17" t="str">
        <x:v>Cloud Backup and Recovery</x:v>
      </x:c>
      <x:c r="D466" s="17" t="str">
        <x:v>Mobile + Desktop</x:v>
      </x:c>
      <x:c r="E466" s="17" t="str">
        <x:v>Consumers and small businesses</x:v>
      </x:c>
      <x:c r="F466" s="18" t="str">
        <x:v>Offline Backup Rotation Tracker provides a focused cloud backup and recovery workflow for consumers and small businesses.</x:v>
      </x:c>
      <x:c r="G466" s="18" t="str">
        <x:v>Backup Inventory, Restore Tests, Reminders, Reports</x:v>
      </x:c>
      <x:c r="H466" s="17" t="str">
        <x:v>Subscription + Pro</x:v>
      </x:c>
      <x:c r="I466" s="17" t="str">
        <x:v>Medium</x:v>
      </x:c>
      <x:c r="J466" s="17" t="str">
        <x:v>New candidate</x:v>
      </x:c>
      <x:c r="K466" s="17" t="str">
        <x:v>Unreviewed</x:v>
      </x:c>
      <x:c r="L466" s="17"/>
      <x:c r="M466" s="17"/>
      <x:c r="N466" s="17"/>
      <x:c r="O466" s="17"/>
      <x:c r="P466" s="17"/>
      <x:c r="Q466" s="17" t="str">
        <x:f>IF(COUNT(L466:P466)&lt;5,"",ROUND((L466*25+M466*20+N466*20+O466*20+P466*15)/5,1))</x:f>
      </x:c>
      <x:c r="R466" s="18" t="str"/>
      <x:c r="S466" s="18" t="str"/>
      <x:c r="T466" s="17" t="str"/>
      <x:c r="U466" s="19"/>
    </x:row>
    <x:row r="467">
      <x:c r="A467" s="17" t="str">
        <x:v>MTS-0466</x:v>
      </x:c>
      <x:c r="B467" s="17" t="str">
        <x:v>Recovery Point Calculator</x:v>
      </x:c>
      <x:c r="C467" s="17" t="str">
        <x:v>Cloud Backup and Recovery</x:v>
      </x:c>
      <x:c r="D467" s="17" t="str">
        <x:v>Mobile + Desktop</x:v>
      </x:c>
      <x:c r="E467" s="17" t="str">
        <x:v>Consumers and small businesses</x:v>
      </x:c>
      <x:c r="F467" s="18" t="str">
        <x:v>Recovery Point Calculator provides a focused cloud backup and recovery workflow for consumers and small businesses.</x:v>
      </x:c>
      <x:c r="G467" s="18" t="str">
        <x:v>Backup Inventory, Restore Tests, Reminders, Reports</x:v>
      </x:c>
      <x:c r="H467" s="17" t="str">
        <x:v>Subscription + Pro</x:v>
      </x:c>
      <x:c r="I467" s="17" t="str">
        <x:v>Medium</x:v>
      </x:c>
      <x:c r="J467" s="17" t="str">
        <x:v>New candidate</x:v>
      </x:c>
      <x:c r="K467" s="17" t="str">
        <x:v>Unreviewed</x:v>
      </x:c>
      <x:c r="L467" s="17"/>
      <x:c r="M467" s="17"/>
      <x:c r="N467" s="17"/>
      <x:c r="O467" s="17"/>
      <x:c r="P467" s="17"/>
      <x:c r="Q467" s="17" t="str">
        <x:f>IF(COUNT(L467:P467)&lt;5,"",ROUND((L467*25+M467*20+N467*20+O467*20+P467*15)/5,1))</x:f>
      </x:c>
      <x:c r="R467" s="18" t="str"/>
      <x:c r="S467" s="18" t="str"/>
      <x:c r="T467" s="17" t="str"/>
      <x:c r="U467" s="19"/>
    </x:row>
    <x:row r="468">
      <x:c r="A468" s="17" t="str">
        <x:v>MTS-0467</x:v>
      </x:c>
      <x:c r="B468" s="17" t="str">
        <x:v>Backup Encryption Checklist</x:v>
      </x:c>
      <x:c r="C468" s="17" t="str">
        <x:v>Cloud Backup and Recovery</x:v>
      </x:c>
      <x:c r="D468" s="17" t="str">
        <x:v>Mobile + Desktop</x:v>
      </x:c>
      <x:c r="E468" s="17" t="str">
        <x:v>Consumers and small businesses</x:v>
      </x:c>
      <x:c r="F468" s="18" t="str">
        <x:v>Backup Encryption Checklist provides a focused cloud backup and recovery workflow for consumers and small businesses.</x:v>
      </x:c>
      <x:c r="G468" s="18" t="str">
        <x:v>Backup Inventory, Restore Tests, Reminders, Reports</x:v>
      </x:c>
      <x:c r="H468" s="17" t="str">
        <x:v>Subscription + Pro</x:v>
      </x:c>
      <x:c r="I468" s="17" t="str">
        <x:v>Medium</x:v>
      </x:c>
      <x:c r="J468" s="17" t="str">
        <x:v>New candidate</x:v>
      </x:c>
      <x:c r="K468" s="17" t="str">
        <x:v>Unreviewed</x:v>
      </x:c>
      <x:c r="L468" s="17"/>
      <x:c r="M468" s="17"/>
      <x:c r="N468" s="17"/>
      <x:c r="O468" s="17"/>
      <x:c r="P468" s="17"/>
      <x:c r="Q468" s="17" t="str">
        <x:f>IF(COUNT(L468:P468)&lt;5,"",ROUND((L468*25+M468*20+N468*20+O468*20+P468*15)/5,1))</x:f>
      </x:c>
      <x:c r="R468" s="18" t="str"/>
      <x:c r="S468" s="18" t="str"/>
      <x:c r="T468" s="17" t="str"/>
      <x:c r="U468" s="19"/>
    </x:row>
    <x:row r="469">
      <x:c r="A469" s="17" t="str">
        <x:v>MTS-0468</x:v>
      </x:c>
      <x:c r="B469" s="17" t="str">
        <x:v>Disaster Recovery Runbook</x:v>
      </x:c>
      <x:c r="C469" s="17" t="str">
        <x:v>Cloud Backup and Recovery</x:v>
      </x:c>
      <x:c r="D469" s="17" t="str">
        <x:v>Mobile + Desktop</x:v>
      </x:c>
      <x:c r="E469" s="17" t="str">
        <x:v>Consumers and small businesses</x:v>
      </x:c>
      <x:c r="F469" s="18" t="str">
        <x:v>Disaster Recovery Runbook provides a focused cloud backup and recovery workflow for consumers and small businesses.</x:v>
      </x:c>
      <x:c r="G469" s="18" t="str">
        <x:v>Backup Inventory, Restore Tests, Reminders, Reports</x:v>
      </x:c>
      <x:c r="H469" s="17" t="str">
        <x:v>Subscription + Pro</x:v>
      </x:c>
      <x:c r="I469" s="17" t="str">
        <x:v>Medium</x:v>
      </x:c>
      <x:c r="J469" s="17" t="str">
        <x:v>New candidate</x:v>
      </x:c>
      <x:c r="K469" s="17" t="str">
        <x:v>Unreviewed</x:v>
      </x:c>
      <x:c r="L469" s="17"/>
      <x:c r="M469" s="17"/>
      <x:c r="N469" s="17"/>
      <x:c r="O469" s="17"/>
      <x:c r="P469" s="17"/>
      <x:c r="Q469" s="17" t="str">
        <x:f>IF(COUNT(L469:P469)&lt;5,"",ROUND((L469*25+M469*20+N469*20+O469*20+P469*15)/5,1))</x:f>
      </x:c>
      <x:c r="R469" s="18" t="str"/>
      <x:c r="S469" s="18" t="str"/>
      <x:c r="T469" s="17" t="str"/>
      <x:c r="U469" s="19"/>
    </x:row>
    <x:row r="470">
      <x:c r="A470" s="17" t="str">
        <x:v>MTS-0469</x:v>
      </x:c>
      <x:c r="B470" s="17" t="str">
        <x:v>Phone Trade-In Privacy Checklist</x:v>
      </x:c>
      <x:c r="C470" s="17" t="str">
        <x:v>Data Erasure and Device Transfer</x:v>
      </x:c>
      <x:c r="D470" s="17" t="str">
        <x:v>Mobile + Desktop</x:v>
      </x:c>
      <x:c r="E470" s="17" t="str">
        <x:v>People replacing or transferring devices</x:v>
      </x:c>
      <x:c r="F470" s="18" t="str">
        <x:v>Phone Trade-In Privacy Checklist provides a focused data erasure and device transfer workflow for people replacing or transferring devices.</x:v>
      </x:c>
      <x:c r="G470" s="18" t="str">
        <x:v>Data Inventory, Migration, Wipe Guidance, Evidence</x:v>
      </x:c>
      <x:c r="H470" s="17" t="str">
        <x:v>Paid + Pro</x:v>
      </x:c>
      <x:c r="I470" s="17" t="str">
        <x:v>Medium</x:v>
      </x:c>
      <x:c r="J470" s="17" t="str">
        <x:v>New candidate</x:v>
      </x:c>
      <x:c r="K470" s="17" t="str">
        <x:v>Unreviewed</x:v>
      </x:c>
      <x:c r="L470" s="17"/>
      <x:c r="M470" s="17"/>
      <x:c r="N470" s="17"/>
      <x:c r="O470" s="17"/>
      <x:c r="P470" s="17"/>
      <x:c r="Q470" s="17" t="str">
        <x:f>IF(COUNT(L470:P470)&lt;5,"",ROUND((L470*25+M470*20+N470*20+O470*20+P470*15)/5,1))</x:f>
      </x:c>
      <x:c r="R470" s="18" t="str"/>
      <x:c r="S470" s="18" t="str"/>
      <x:c r="T470" s="17" t="str"/>
      <x:c r="U470" s="19"/>
    </x:row>
    <x:row r="471">
      <x:c r="A471" s="17" t="str">
        <x:v>MTS-0470</x:v>
      </x:c>
      <x:c r="B471" s="17" t="str">
        <x:v>Computer Resale Wipe Planner</x:v>
      </x:c>
      <x:c r="C471" s="17" t="str">
        <x:v>Data Erasure and Device Transfer</x:v>
      </x:c>
      <x:c r="D471" s="17" t="str">
        <x:v>Mobile + Desktop</x:v>
      </x:c>
      <x:c r="E471" s="17" t="str">
        <x:v>People replacing or transferring devices</x:v>
      </x:c>
      <x:c r="F471" s="18" t="str">
        <x:v>Computer Resale Wipe Planner provides a focused data erasure and device transfer workflow for people replacing or transferring devices.</x:v>
      </x:c>
      <x:c r="G471" s="18" t="str">
        <x:v>Data Inventory, Migration, Wipe Guidance, Evidence</x:v>
      </x:c>
      <x:c r="H471" s="17" t="str">
        <x:v>Paid + Pro</x:v>
      </x:c>
      <x:c r="I471" s="17" t="str">
        <x:v>Medium</x:v>
      </x:c>
      <x:c r="J471" s="17" t="str">
        <x:v>New candidate</x:v>
      </x:c>
      <x:c r="K471" s="17" t="str">
        <x:v>Unreviewed</x:v>
      </x:c>
      <x:c r="L471" s="17"/>
      <x:c r="M471" s="17"/>
      <x:c r="N471" s="17"/>
      <x:c r="O471" s="17"/>
      <x:c r="P471" s="17"/>
      <x:c r="Q471" s="17" t="str">
        <x:f>IF(COUNT(L471:P471)&lt;5,"",ROUND((L471*25+M471*20+N471*20+O471*20+P471*15)/5,1))</x:f>
      </x:c>
      <x:c r="R471" s="18" t="str"/>
      <x:c r="S471" s="18" t="str"/>
      <x:c r="T471" s="17" t="str"/>
      <x:c r="U471" s="19"/>
    </x:row>
    <x:row r="472">
      <x:c r="A472" s="17" t="str">
        <x:v>MTS-0471</x:v>
      </x:c>
      <x:c r="B472" s="17" t="str">
        <x:v>Secure File Deletion Assistant</x:v>
      </x:c>
      <x:c r="C472" s="17" t="str">
        <x:v>Data Erasure and Device Transfer</x:v>
      </x:c>
      <x:c r="D472" s="17" t="str">
        <x:v>Mobile + Desktop</x:v>
      </x:c>
      <x:c r="E472" s="17" t="str">
        <x:v>People replacing or transferring devices</x:v>
      </x:c>
      <x:c r="F472" s="18" t="str">
        <x:v>Secure File Deletion Assistant provides a focused data erasure and device transfer workflow for people replacing or transferring devices.</x:v>
      </x:c>
      <x:c r="G472" s="18" t="str">
        <x:v>Data Inventory, Migration, Wipe Guidance, Evidence</x:v>
      </x:c>
      <x:c r="H472" s="17" t="str">
        <x:v>Paid + Pro</x:v>
      </x:c>
      <x:c r="I472" s="17" t="str">
        <x:v>Medium</x:v>
      </x:c>
      <x:c r="J472" s="17" t="str">
        <x:v>New candidate</x:v>
      </x:c>
      <x:c r="K472" s="17" t="str">
        <x:v>Unreviewed</x:v>
      </x:c>
      <x:c r="L472" s="17"/>
      <x:c r="M472" s="17"/>
      <x:c r="N472" s="17"/>
      <x:c r="O472" s="17"/>
      <x:c r="P472" s="17"/>
      <x:c r="Q472" s="17" t="str">
        <x:f>IF(COUNT(L472:P472)&lt;5,"",ROUND((L472*25+M472*20+N472*20+O472*20+P472*15)/5,1))</x:f>
      </x:c>
      <x:c r="R472" s="18" t="str"/>
      <x:c r="S472" s="18" t="str"/>
      <x:c r="T472" s="17" t="str"/>
      <x:c r="U472" s="19"/>
    </x:row>
    <x:row r="473">
      <x:c r="A473" s="17" t="str">
        <x:v>MTS-0472</x:v>
      </x:c>
      <x:c r="B473" s="17" t="str">
        <x:v>Removable Drive Wipe Guide</x:v>
      </x:c>
      <x:c r="C473" s="17" t="str">
        <x:v>Data Erasure and Device Transfer</x:v>
      </x:c>
      <x:c r="D473" s="17" t="str">
        <x:v>Mobile + Desktop</x:v>
      </x:c>
      <x:c r="E473" s="17" t="str">
        <x:v>People replacing or transferring devices</x:v>
      </x:c>
      <x:c r="F473" s="18" t="str">
        <x:v>Removable Drive Wipe Guide provides a focused data erasure and device transfer workflow for people replacing or transferring devices.</x:v>
      </x:c>
      <x:c r="G473" s="18" t="str">
        <x:v>Data Inventory, Migration, Wipe Guidance, Evidence</x:v>
      </x:c>
      <x:c r="H473" s="17" t="str">
        <x:v>Paid + Pro</x:v>
      </x:c>
      <x:c r="I473" s="17" t="str">
        <x:v>Medium</x:v>
      </x:c>
      <x:c r="J473" s="17" t="str">
        <x:v>New candidate</x:v>
      </x:c>
      <x:c r="K473" s="17" t="str">
        <x:v>Unreviewed</x:v>
      </x:c>
      <x:c r="L473" s="17"/>
      <x:c r="M473" s="17"/>
      <x:c r="N473" s="17"/>
      <x:c r="O473" s="17"/>
      <x:c r="P473" s="17"/>
      <x:c r="Q473" s="17" t="str">
        <x:f>IF(COUNT(L473:P473)&lt;5,"",ROUND((L473*25+M473*20+N473*20+O473*20+P473*15)/5,1))</x:f>
      </x:c>
      <x:c r="R473" s="18" t="str"/>
      <x:c r="S473" s="18" t="str"/>
      <x:c r="T473" s="17" t="str"/>
      <x:c r="U473" s="19"/>
    </x:row>
    <x:row r="474">
      <x:c r="A474" s="17" t="str">
        <x:v>MTS-0473</x:v>
      </x:c>
      <x:c r="B474" s="17" t="str">
        <x:v>Factory Reset Verification</x:v>
      </x:c>
      <x:c r="C474" s="17" t="str">
        <x:v>Data Erasure and Device Transfer</x:v>
      </x:c>
      <x:c r="D474" s="17" t="str">
        <x:v>Mobile + Desktop</x:v>
      </x:c>
      <x:c r="E474" s="17" t="str">
        <x:v>People replacing or transferring devices</x:v>
      </x:c>
      <x:c r="F474" s="18" t="str">
        <x:v>Factory Reset Verification provides a focused data erasure and device transfer workflow for people replacing or transferring devices.</x:v>
      </x:c>
      <x:c r="G474" s="18" t="str">
        <x:v>Data Inventory, Migration, Wipe Guidance, Evidence</x:v>
      </x:c>
      <x:c r="H474" s="17" t="str">
        <x:v>Paid + Pro</x:v>
      </x:c>
      <x:c r="I474" s="17" t="str">
        <x:v>Medium</x:v>
      </x:c>
      <x:c r="J474" s="17" t="str">
        <x:v>New candidate</x:v>
      </x:c>
      <x:c r="K474" s="17" t="str">
        <x:v>Unreviewed</x:v>
      </x:c>
      <x:c r="L474" s="17"/>
      <x:c r="M474" s="17"/>
      <x:c r="N474" s="17"/>
      <x:c r="O474" s="17"/>
      <x:c r="P474" s="17"/>
      <x:c r="Q474" s="17" t="str">
        <x:f>IF(COUNT(L474:P474)&lt;5,"",ROUND((L474*25+M474*20+N474*20+O474*20+P474*15)/5,1))</x:f>
      </x:c>
      <x:c r="R474" s="18" t="str"/>
      <x:c r="S474" s="18" t="str"/>
      <x:c r="T474" s="17" t="str"/>
      <x:c r="U474" s="19"/>
    </x:row>
    <x:row r="475">
      <x:c r="A475" s="17" t="str">
        <x:v>MTS-0474</x:v>
      </x:c>
      <x:c r="B475" s="17" t="str">
        <x:v>SIM and eSIM Transfer Checklist</x:v>
      </x:c>
      <x:c r="C475" s="17" t="str">
        <x:v>Data Erasure and Device Transfer</x:v>
      </x:c>
      <x:c r="D475" s="17" t="str">
        <x:v>Mobile + Desktop</x:v>
      </x:c>
      <x:c r="E475" s="17" t="str">
        <x:v>People replacing or transferring devices</x:v>
      </x:c>
      <x:c r="F475" s="18" t="str">
        <x:v>SIM and eSIM Transfer Checklist provides a focused data erasure and device transfer workflow for people replacing or transferring devices.</x:v>
      </x:c>
      <x:c r="G475" s="18" t="str">
        <x:v>Data Inventory, Migration, Wipe Guidance, Evidence</x:v>
      </x:c>
      <x:c r="H475" s="17" t="str">
        <x:v>Paid + Pro</x:v>
      </x:c>
      <x:c r="I475" s="17" t="str">
        <x:v>Medium</x:v>
      </x:c>
      <x:c r="J475" s="17" t="str">
        <x:v>New candidate</x:v>
      </x:c>
      <x:c r="K475" s="17" t="str">
        <x:v>Unreviewed</x:v>
      </x:c>
      <x:c r="L475" s="17"/>
      <x:c r="M475" s="17"/>
      <x:c r="N475" s="17"/>
      <x:c r="O475" s="17"/>
      <x:c r="P475" s="17"/>
      <x:c r="Q475" s="17" t="str">
        <x:f>IF(COUNT(L475:P475)&lt;5,"",ROUND((L475*25+M475*20+N475*20+O475*20+P475*15)/5,1))</x:f>
      </x:c>
      <x:c r="R475" s="18" t="str"/>
      <x:c r="S475" s="18" t="str"/>
      <x:c r="T475" s="17" t="str"/>
      <x:c r="U475" s="19"/>
    </x:row>
    <x:row r="476">
      <x:c r="A476" s="17" t="str">
        <x:v>MTS-0475</x:v>
      </x:c>
      <x:c r="B476" s="17" t="str">
        <x:v>Authenticator Migration Planner</x:v>
      </x:c>
      <x:c r="C476" s="17" t="str">
        <x:v>Data Erasure and Device Transfer</x:v>
      </x:c>
      <x:c r="D476" s="17" t="str">
        <x:v>Mobile + Desktop</x:v>
      </x:c>
      <x:c r="E476" s="17" t="str">
        <x:v>People replacing or transferring devices</x:v>
      </x:c>
      <x:c r="F476" s="18" t="str">
        <x:v>Authenticator Migration Planner provides a focused data erasure and device transfer workflow for people replacing or transferring devices.</x:v>
      </x:c>
      <x:c r="G476" s="18" t="str">
        <x:v>Data Inventory, Migration, Wipe Guidance, Evidence</x:v>
      </x:c>
      <x:c r="H476" s="17" t="str">
        <x:v>Paid + Pro</x:v>
      </x:c>
      <x:c r="I476" s="17" t="str">
        <x:v>Medium</x:v>
      </x:c>
      <x:c r="J476" s="17" t="str">
        <x:v>New candidate</x:v>
      </x:c>
      <x:c r="K476" s="17" t="str">
        <x:v>Unreviewed</x:v>
      </x:c>
      <x:c r="L476" s="17"/>
      <x:c r="M476" s="17"/>
      <x:c r="N476" s="17"/>
      <x:c r="O476" s="17"/>
      <x:c r="P476" s="17"/>
      <x:c r="Q476" s="17" t="str">
        <x:f>IF(COUNT(L476:P476)&lt;5,"",ROUND((L476*25+M476*20+N476*20+O476*20+P476*15)/5,1))</x:f>
      </x:c>
      <x:c r="R476" s="18" t="str"/>
      <x:c r="S476" s="18" t="str"/>
      <x:c r="T476" s="17" t="str"/>
      <x:c r="U476" s="19"/>
    </x:row>
    <x:row r="477">
      <x:c r="A477" s="17" t="str">
        <x:v>MTS-0476</x:v>
      </x:c>
      <x:c r="B477" s="17" t="str">
        <x:v>Password Manager Migration Guide</x:v>
      </x:c>
      <x:c r="C477" s="17" t="str">
        <x:v>Data Erasure and Device Transfer</x:v>
      </x:c>
      <x:c r="D477" s="17" t="str">
        <x:v>Mobile + Desktop</x:v>
      </x:c>
      <x:c r="E477" s="17" t="str">
        <x:v>People replacing or transferring devices</x:v>
      </x:c>
      <x:c r="F477" s="18" t="str">
        <x:v>Password Manager Migration Guide provides a focused data erasure and device transfer workflow for people replacing or transferring devices.</x:v>
      </x:c>
      <x:c r="G477" s="18" t="str">
        <x:v>Data Inventory, Migration, Wipe Guidance, Evidence</x:v>
      </x:c>
      <x:c r="H477" s="17" t="str">
        <x:v>Paid + Pro</x:v>
      </x:c>
      <x:c r="I477" s="17" t="str">
        <x:v>Medium</x:v>
      </x:c>
      <x:c r="J477" s="17" t="str">
        <x:v>New candidate</x:v>
      </x:c>
      <x:c r="K477" s="17" t="str">
        <x:v>Unreviewed</x:v>
      </x:c>
      <x:c r="L477" s="17"/>
      <x:c r="M477" s="17"/>
      <x:c r="N477" s="17"/>
      <x:c r="O477" s="17"/>
      <x:c r="P477" s="17"/>
      <x:c r="Q477" s="17" t="str">
        <x:f>IF(COUNT(L477:P477)&lt;5,"",ROUND((L477*25+M477*20+N477*20+O477*20+P477*15)/5,1))</x:f>
      </x:c>
      <x:c r="R477" s="18" t="str"/>
      <x:c r="S477" s="18" t="str"/>
      <x:c r="T477" s="17" t="str"/>
      <x:c r="U477" s="19"/>
    </x:row>
    <x:row r="478">
      <x:c r="A478" s="17" t="str">
        <x:v>MTS-0477</x:v>
      </x:c>
      <x:c r="B478" s="17" t="str">
        <x:v>Cloud Account Device Removal</x:v>
      </x:c>
      <x:c r="C478" s="17" t="str">
        <x:v>Data Erasure and Device Transfer</x:v>
      </x:c>
      <x:c r="D478" s="17" t="str">
        <x:v>Mobile + Desktop</x:v>
      </x:c>
      <x:c r="E478" s="17" t="str">
        <x:v>People replacing or transferring devices</x:v>
      </x:c>
      <x:c r="F478" s="18" t="str">
        <x:v>Cloud Account Device Removal provides a focused data erasure and device transfer workflow for people replacing or transferring devices.</x:v>
      </x:c>
      <x:c r="G478" s="18" t="str">
        <x:v>Data Inventory, Migration, Wipe Guidance, Evidence</x:v>
      </x:c>
      <x:c r="H478" s="17" t="str">
        <x:v>Paid + Pro</x:v>
      </x:c>
      <x:c r="I478" s="17" t="str">
        <x:v>Medium</x:v>
      </x:c>
      <x:c r="J478" s="17" t="str">
        <x:v>New candidate</x:v>
      </x:c>
      <x:c r="K478" s="17" t="str">
        <x:v>Unreviewed</x:v>
      </x:c>
      <x:c r="L478" s="17"/>
      <x:c r="M478" s="17"/>
      <x:c r="N478" s="17"/>
      <x:c r="O478" s="17"/>
      <x:c r="P478" s="17"/>
      <x:c r="Q478" s="17" t="str">
        <x:f>IF(COUNT(L478:P478)&lt;5,"",ROUND((L478*25+M478*20+N478*20+O478*20+P478*15)/5,1))</x:f>
      </x:c>
      <x:c r="R478" s="18" t="str"/>
      <x:c r="S478" s="18" t="str"/>
      <x:c r="T478" s="17" t="str"/>
      <x:c r="U478" s="19"/>
    </x:row>
    <x:row r="479">
      <x:c r="A479" s="17" t="str">
        <x:v>MTS-0478</x:v>
      </x:c>
      <x:c r="B479" s="17" t="str">
        <x:v>Old Device Data Inventory</x:v>
      </x:c>
      <x:c r="C479" s="17" t="str">
        <x:v>Data Erasure and Device Transfer</x:v>
      </x:c>
      <x:c r="D479" s="17" t="str">
        <x:v>Mobile + Desktop</x:v>
      </x:c>
      <x:c r="E479" s="17" t="str">
        <x:v>People replacing or transferring devices</x:v>
      </x:c>
      <x:c r="F479" s="18" t="str">
        <x:v>Old Device Data Inventory provides a focused data erasure and device transfer workflow for people replacing or transferring devices.</x:v>
      </x:c>
      <x:c r="G479" s="18" t="str">
        <x:v>Data Inventory, Migration, Wipe Guidance, Evidence</x:v>
      </x:c>
      <x:c r="H479" s="17" t="str">
        <x:v>Paid + Pro</x:v>
      </x:c>
      <x:c r="I479" s="17" t="str">
        <x:v>Medium</x:v>
      </x:c>
      <x:c r="J479" s="17" t="str">
        <x:v>New candidate</x:v>
      </x:c>
      <x:c r="K479" s="17" t="str">
        <x:v>Unreviewed</x:v>
      </x:c>
      <x:c r="L479" s="17"/>
      <x:c r="M479" s="17"/>
      <x:c r="N479" s="17"/>
      <x:c r="O479" s="17"/>
      <x:c r="P479" s="17"/>
      <x:c r="Q479" s="17" t="str">
        <x:f>IF(COUNT(L479:P479)&lt;5,"",ROUND((L479*25+M479*20+N479*20+O479*20+P479*15)/5,1))</x:f>
      </x:c>
      <x:c r="R479" s="18" t="str"/>
      <x:c r="S479" s="18" t="str"/>
      <x:c r="T479" s="17" t="str"/>
      <x:c r="U479" s="19"/>
    </x:row>
    <x:row r="480">
      <x:c r="A480" s="17" t="str">
        <x:v>MTS-0479</x:v>
      </x:c>
      <x:c r="B480" s="17" t="str">
        <x:v>Device Handoff Evidence Report</x:v>
      </x:c>
      <x:c r="C480" s="17" t="str">
        <x:v>Data Erasure and Device Transfer</x:v>
      </x:c>
      <x:c r="D480" s="17" t="str">
        <x:v>Mobile + Desktop</x:v>
      </x:c>
      <x:c r="E480" s="17" t="str">
        <x:v>People replacing or transferring devices</x:v>
      </x:c>
      <x:c r="F480" s="18" t="str">
        <x:v>Device Handoff Evidence Report provides a focused data erasure and device transfer workflow for people replacing or transferring devices.</x:v>
      </x:c>
      <x:c r="G480" s="18" t="str">
        <x:v>Data Inventory, Migration, Wipe Guidance, Evidence</x:v>
      </x:c>
      <x:c r="H480" s="17" t="str">
        <x:v>Paid + Pro</x:v>
      </x:c>
      <x:c r="I480" s="17" t="str">
        <x:v>Medium</x:v>
      </x:c>
      <x:c r="J480" s="17" t="str">
        <x:v>New candidate</x:v>
      </x:c>
      <x:c r="K480" s="17" t="str">
        <x:v>Unreviewed</x:v>
      </x:c>
      <x:c r="L480" s="17"/>
      <x:c r="M480" s="17"/>
      <x:c r="N480" s="17"/>
      <x:c r="O480" s="17"/>
      <x:c r="P480" s="17"/>
      <x:c r="Q480" s="17" t="str">
        <x:f>IF(COUNT(L480:P480)&lt;5,"",ROUND((L480*25+M480*20+N480*20+O480*20+P480*15)/5,1))</x:f>
      </x:c>
      <x:c r="R480" s="18" t="str"/>
      <x:c r="S480" s="18" t="str"/>
      <x:c r="T480" s="17" t="str"/>
      <x:c r="U480" s="19"/>
    </x:row>
    <x:row r="481">
      <x:c r="A481" s="17" t="str">
        <x:v>MTS-0480</x:v>
      </x:c>
      <x:c r="B481" s="17" t="str">
        <x:v>Digital Estate Device Cleanup</x:v>
      </x:c>
      <x:c r="C481" s="17" t="str">
        <x:v>Data Erasure and Device Transfer</x:v>
      </x:c>
      <x:c r="D481" s="17" t="str">
        <x:v>Mobile + Desktop</x:v>
      </x:c>
      <x:c r="E481" s="17" t="str">
        <x:v>People replacing or transferring devices</x:v>
      </x:c>
      <x:c r="F481" s="18" t="str">
        <x:v>Digital Estate Device Cleanup provides a focused data erasure and device transfer workflow for people replacing or transferring devices.</x:v>
      </x:c>
      <x:c r="G481" s="18" t="str">
        <x:v>Data Inventory, Migration, Wipe Guidance, Evidence</x:v>
      </x:c>
      <x:c r="H481" s="17" t="str">
        <x:v>Paid + Pro</x:v>
      </x:c>
      <x:c r="I481" s="17" t="str">
        <x:v>Medium</x:v>
      </x:c>
      <x:c r="J481" s="17" t="str">
        <x:v>New candidate</x:v>
      </x:c>
      <x:c r="K481" s="17" t="str">
        <x:v>Unreviewed</x:v>
      </x:c>
      <x:c r="L481" s="17"/>
      <x:c r="M481" s="17"/>
      <x:c r="N481" s="17"/>
      <x:c r="O481" s="17"/>
      <x:c r="P481" s="17"/>
      <x:c r="Q481" s="17" t="str">
        <x:f>IF(COUNT(L481:P481)&lt;5,"",ROUND((L481*25+M481*20+N481*20+O481*20+P481*15)/5,1))</x:f>
      </x:c>
      <x:c r="R481" s="18" t="str"/>
      <x:c r="S481" s="18" t="str"/>
      <x:c r="T481" s="17" t="str"/>
      <x:c r="U481" s="19"/>
    </x:row>
    <x:row r="482">
      <x:c r="A482" s="17" t="str">
        <x:v>MTS-0481</x:v>
      </x:c>
      <x:c r="B482" s="17" t="str">
        <x:v>Email Breach Exposure Review</x:v>
      </x:c>
      <x:c r="C482" s="17" t="str">
        <x:v>Email and Messaging Security</x:v>
      </x:c>
      <x:c r="D482" s="17" t="str">
        <x:v>Browser + Web</x:v>
      </x:c>
      <x:c r="E482" s="17" t="str">
        <x:v>Consumers and small businesses</x:v>
      </x:c>
      <x:c r="F482" s="18" t="str">
        <x:v>Email Breach Exposure Review provides a focused email and messaging security workflow for consumers and small businesses.</x:v>
      </x:c>
      <x:c r="G482" s="18" t="str">
        <x:v>Message Audit, Sender Checks, Recovery, Evidence</x:v>
      </x:c>
      <x:c r="H482" s="17" t="str">
        <x:v>Subscription + Pro</x:v>
      </x:c>
      <x:c r="I482" s="17" t="str">
        <x:v>Medium</x:v>
      </x:c>
      <x:c r="J482" s="17" t="str">
        <x:v>New candidate</x:v>
      </x:c>
      <x:c r="K482" s="17" t="str">
        <x:v>Unreviewed</x:v>
      </x:c>
      <x:c r="L482" s="17"/>
      <x:c r="M482" s="17"/>
      <x:c r="N482" s="17"/>
      <x:c r="O482" s="17"/>
      <x:c r="P482" s="17"/>
      <x:c r="Q482" s="17" t="str">
        <x:f>IF(COUNT(L482:P482)&lt;5,"",ROUND((L482*25+M482*20+N482*20+O482*20+P482*15)/5,1))</x:f>
      </x:c>
      <x:c r="R482" s="18" t="str"/>
      <x:c r="S482" s="18" t="str"/>
      <x:c r="T482" s="17" t="str"/>
      <x:c r="U482" s="19"/>
    </x:row>
    <x:row r="483">
      <x:c r="A483" s="17" t="str">
        <x:v>MTS-0482</x:v>
      </x:c>
      <x:c r="B483" s="17" t="str">
        <x:v>Suspicious Sender Inspector</x:v>
      </x:c>
      <x:c r="C483" s="17" t="str">
        <x:v>Email and Messaging Security</x:v>
      </x:c>
      <x:c r="D483" s="17" t="str">
        <x:v>Browser + Web</x:v>
      </x:c>
      <x:c r="E483" s="17" t="str">
        <x:v>Consumers and small businesses</x:v>
      </x:c>
      <x:c r="F483" s="18" t="str">
        <x:v>Suspicious Sender Inspector provides a focused email and messaging security workflow for consumers and small businesses.</x:v>
      </x:c>
      <x:c r="G483" s="18" t="str">
        <x:v>Message Audit, Sender Checks, Recovery, Evidence</x:v>
      </x:c>
      <x:c r="H483" s="17" t="str">
        <x:v>Subscription + Pro</x:v>
      </x:c>
      <x:c r="I483" s="17" t="str">
        <x:v>Medium</x:v>
      </x:c>
      <x:c r="J483" s="17" t="str">
        <x:v>New candidate</x:v>
      </x:c>
      <x:c r="K483" s="17" t="str">
        <x:v>Unreviewed</x:v>
      </x:c>
      <x:c r="L483" s="17"/>
      <x:c r="M483" s="17"/>
      <x:c r="N483" s="17"/>
      <x:c r="O483" s="17"/>
      <x:c r="P483" s="17"/>
      <x:c r="Q483" s="17" t="str">
        <x:f>IF(COUNT(L483:P483)&lt;5,"",ROUND((L483*25+M483*20+N483*20+O483*20+P483*15)/5,1))</x:f>
      </x:c>
      <x:c r="R483" s="18" t="str"/>
      <x:c r="S483" s="18" t="str"/>
      <x:c r="T483" s="17" t="str"/>
      <x:c r="U483" s="19"/>
    </x:row>
    <x:row r="484">
      <x:c r="A484" s="17" t="str">
        <x:v>MTS-0483</x:v>
      </x:c>
      <x:c r="B484" s="17" t="str">
        <x:v>Email Authentication Viewer</x:v>
      </x:c>
      <x:c r="C484" s="17" t="str">
        <x:v>Email and Messaging Security</x:v>
      </x:c>
      <x:c r="D484" s="17" t="str">
        <x:v>Browser + Web</x:v>
      </x:c>
      <x:c r="E484" s="17" t="str">
        <x:v>Consumers and small businesses</x:v>
      </x:c>
      <x:c r="F484" s="18" t="str">
        <x:v>Email Authentication Viewer provides a focused email and messaging security workflow for consumers and small businesses.</x:v>
      </x:c>
      <x:c r="G484" s="18" t="str">
        <x:v>Message Audit, Sender Checks, Recovery, Evidence</x:v>
      </x:c>
      <x:c r="H484" s="17" t="str">
        <x:v>Subscription + Pro</x:v>
      </x:c>
      <x:c r="I484" s="17" t="str">
        <x:v>Medium</x:v>
      </x:c>
      <x:c r="J484" s="17" t="str">
        <x:v>New candidate</x:v>
      </x:c>
      <x:c r="K484" s="17" t="str">
        <x:v>Unreviewed</x:v>
      </x:c>
      <x:c r="L484" s="17"/>
      <x:c r="M484" s="17"/>
      <x:c r="N484" s="17"/>
      <x:c r="O484" s="17"/>
      <x:c r="P484" s="17"/>
      <x:c r="Q484" s="17" t="str">
        <x:f>IF(COUNT(L484:P484)&lt;5,"",ROUND((L484*25+M484*20+N484*20+O484*20+P484*15)/5,1))</x:f>
      </x:c>
      <x:c r="R484" s="18" t="str"/>
      <x:c r="S484" s="18" t="str"/>
      <x:c r="T484" s="17" t="str"/>
      <x:c r="U484" s="19"/>
    </x:row>
    <x:row r="485">
      <x:c r="A485" s="17" t="str">
        <x:v>MTS-0484</x:v>
      </x:c>
      <x:c r="B485" s="17" t="str">
        <x:v>Attachment Risk Checklist</x:v>
      </x:c>
      <x:c r="C485" s="17" t="str">
        <x:v>Email and Messaging Security</x:v>
      </x:c>
      <x:c r="D485" s="17" t="str">
        <x:v>Browser + Web</x:v>
      </x:c>
      <x:c r="E485" s="17" t="str">
        <x:v>Consumers and small businesses</x:v>
      </x:c>
      <x:c r="F485" s="18" t="str">
        <x:v>Attachment Risk Checklist provides a focused email and messaging security workflow for consumers and small businesses.</x:v>
      </x:c>
      <x:c r="G485" s="18" t="str">
        <x:v>Message Audit, Sender Checks, Recovery, Evidence</x:v>
      </x:c>
      <x:c r="H485" s="17" t="str">
        <x:v>Subscription + Pro</x:v>
      </x:c>
      <x:c r="I485" s="17" t="str">
        <x:v>Medium</x:v>
      </x:c>
      <x:c r="J485" s="17" t="str">
        <x:v>New candidate</x:v>
      </x:c>
      <x:c r="K485" s="17" t="str">
        <x:v>Unreviewed</x:v>
      </x:c>
      <x:c r="L485" s="17"/>
      <x:c r="M485" s="17"/>
      <x:c r="N485" s="17"/>
      <x:c r="O485" s="17"/>
      <x:c r="P485" s="17"/>
      <x:c r="Q485" s="17" t="str">
        <x:f>IF(COUNT(L485:P485)&lt;5,"",ROUND((L485*25+M485*20+N485*20+O485*20+P485*15)/5,1))</x:f>
      </x:c>
      <x:c r="R485" s="18" t="str"/>
      <x:c r="S485" s="18" t="str"/>
      <x:c r="T485" s="17" t="str"/>
      <x:c r="U485" s="19"/>
    </x:row>
    <x:row r="486">
      <x:c r="A486" s="17" t="str">
        <x:v>MTS-0485</x:v>
      </x:c>
      <x:c r="B486" s="17" t="str">
        <x:v>Inbox Rule Audit</x:v>
      </x:c>
      <x:c r="C486" s="17" t="str">
        <x:v>Email and Messaging Security</x:v>
      </x:c>
      <x:c r="D486" s="17" t="str">
        <x:v>Browser + Web</x:v>
      </x:c>
      <x:c r="E486" s="17" t="str">
        <x:v>Consumers and small businesses</x:v>
      </x:c>
      <x:c r="F486" s="18" t="str">
        <x:v>Inbox Rule Audit provides a focused email and messaging security workflow for consumers and small businesses.</x:v>
      </x:c>
      <x:c r="G486" s="18" t="str">
        <x:v>Message Audit, Sender Checks, Recovery, Evidence</x:v>
      </x:c>
      <x:c r="H486" s="17" t="str">
        <x:v>Subscription + Pro</x:v>
      </x:c>
      <x:c r="I486" s="17" t="str">
        <x:v>Medium</x:v>
      </x:c>
      <x:c r="J486" s="17" t="str">
        <x:v>New candidate</x:v>
      </x:c>
      <x:c r="K486" s="17" t="str">
        <x:v>Unreviewed</x:v>
      </x:c>
      <x:c r="L486" s="17"/>
      <x:c r="M486" s="17"/>
      <x:c r="N486" s="17"/>
      <x:c r="O486" s="17"/>
      <x:c r="P486" s="17"/>
      <x:c r="Q486" s="17" t="str">
        <x:f>IF(COUNT(L486:P486)&lt;5,"",ROUND((L486*25+M486*20+N486*20+O486*20+P486*15)/5,1))</x:f>
      </x:c>
      <x:c r="R486" s="18" t="str"/>
      <x:c r="S486" s="18" t="str"/>
      <x:c r="T486" s="17" t="str"/>
      <x:c r="U486" s="19"/>
    </x:row>
    <x:row r="487">
      <x:c r="A487" s="17" t="str">
        <x:v>MTS-0486</x:v>
      </x:c>
      <x:c r="B487" s="17" t="str">
        <x:v>Forwarding Rule Monitor</x:v>
      </x:c>
      <x:c r="C487" s="17" t="str">
        <x:v>Email and Messaging Security</x:v>
      </x:c>
      <x:c r="D487" s="17" t="str">
        <x:v>Browser + Web</x:v>
      </x:c>
      <x:c r="E487" s="17" t="str">
        <x:v>Consumers and small businesses</x:v>
      </x:c>
      <x:c r="F487" s="18" t="str">
        <x:v>Forwarding Rule Monitor provides a focused email and messaging security workflow for consumers and small businesses.</x:v>
      </x:c>
      <x:c r="G487" s="18" t="str">
        <x:v>Message Audit, Sender Checks, Recovery, Evidence</x:v>
      </x:c>
      <x:c r="H487" s="17" t="str">
        <x:v>Subscription + Pro</x:v>
      </x:c>
      <x:c r="I487" s="17" t="str">
        <x:v>Medium</x:v>
      </x:c>
      <x:c r="J487" s="17" t="str">
        <x:v>New candidate</x:v>
      </x:c>
      <x:c r="K487" s="17" t="str">
        <x:v>Unreviewed</x:v>
      </x:c>
      <x:c r="L487" s="17"/>
      <x:c r="M487" s="17"/>
      <x:c r="N487" s="17"/>
      <x:c r="O487" s="17"/>
      <x:c r="P487" s="17"/>
      <x:c r="Q487" s="17" t="str">
        <x:f>IF(COUNT(L487:P487)&lt;5,"",ROUND((L487*25+M487*20+N487*20+O487*20+P487*15)/5,1))</x:f>
      </x:c>
      <x:c r="R487" s="18" t="str"/>
      <x:c r="S487" s="18" t="str"/>
      <x:c r="T487" s="17" t="str"/>
      <x:c r="U487" s="19"/>
    </x:row>
    <x:row r="488">
      <x:c r="A488" s="17" t="str">
        <x:v>MTS-0487</x:v>
      </x:c>
      <x:c r="B488" s="17" t="str">
        <x:v>Messaging Privacy Checklist</x:v>
      </x:c>
      <x:c r="C488" s="17" t="str">
        <x:v>Email and Messaging Security</x:v>
      </x:c>
      <x:c r="D488" s="17" t="str">
        <x:v>Browser + Web</x:v>
      </x:c>
      <x:c r="E488" s="17" t="str">
        <x:v>Consumers and small businesses</x:v>
      </x:c>
      <x:c r="F488" s="18" t="str">
        <x:v>Messaging Privacy Checklist provides a focused email and messaging security workflow for consumers and small businesses.</x:v>
      </x:c>
      <x:c r="G488" s="18" t="str">
        <x:v>Message Audit, Sender Checks, Recovery, Evidence</x:v>
      </x:c>
      <x:c r="H488" s="17" t="str">
        <x:v>Subscription + Pro</x:v>
      </x:c>
      <x:c r="I488" s="17" t="str">
        <x:v>Medium</x:v>
      </x:c>
      <x:c r="J488" s="17" t="str">
        <x:v>New candidate</x:v>
      </x:c>
      <x:c r="K488" s="17" t="str">
        <x:v>Unreviewed</x:v>
      </x:c>
      <x:c r="L488" s="17"/>
      <x:c r="M488" s="17"/>
      <x:c r="N488" s="17"/>
      <x:c r="O488" s="17"/>
      <x:c r="P488" s="17"/>
      <x:c r="Q488" s="17" t="str">
        <x:f>IF(COUNT(L488:P488)&lt;5,"",ROUND((L488*25+M488*20+N488*20+O488*20+P488*15)/5,1))</x:f>
      </x:c>
      <x:c r="R488" s="18" t="str"/>
      <x:c r="S488" s="18" t="str"/>
      <x:c r="T488" s="17" t="str"/>
      <x:c r="U488" s="19"/>
    </x:row>
    <x:row r="489">
      <x:c r="A489" s="17" t="str">
        <x:v>MTS-0488</x:v>
      </x:c>
      <x:c r="B489" s="17" t="str">
        <x:v>Group Chat Exposure Review</x:v>
      </x:c>
      <x:c r="C489" s="17" t="str">
        <x:v>Email and Messaging Security</x:v>
      </x:c>
      <x:c r="D489" s="17" t="str">
        <x:v>Browser + Web</x:v>
      </x:c>
      <x:c r="E489" s="17" t="str">
        <x:v>Consumers and small businesses</x:v>
      </x:c>
      <x:c r="F489" s="18" t="str">
        <x:v>Group Chat Exposure Review provides a focused email and messaging security workflow for consumers and small businesses.</x:v>
      </x:c>
      <x:c r="G489" s="18" t="str">
        <x:v>Message Audit, Sender Checks, Recovery, Evidence</x:v>
      </x:c>
      <x:c r="H489" s="17" t="str">
        <x:v>Subscription + Pro</x:v>
      </x:c>
      <x:c r="I489" s="17" t="str">
        <x:v>Medium</x:v>
      </x:c>
      <x:c r="J489" s="17" t="str">
        <x:v>New candidate</x:v>
      </x:c>
      <x:c r="K489" s="17" t="str">
        <x:v>Unreviewed</x:v>
      </x:c>
      <x:c r="L489" s="17"/>
      <x:c r="M489" s="17"/>
      <x:c r="N489" s="17"/>
      <x:c r="O489" s="17"/>
      <x:c r="P489" s="17"/>
      <x:c r="Q489" s="17" t="str">
        <x:f>IF(COUNT(L489:P489)&lt;5,"",ROUND((L489*25+M489*20+N489*20+O489*20+P489*15)/5,1))</x:f>
      </x:c>
      <x:c r="R489" s="18" t="str"/>
      <x:c r="S489" s="18" t="str"/>
      <x:c r="T489" s="17" t="str"/>
      <x:c r="U489" s="19"/>
    </x:row>
    <x:row r="490">
      <x:c r="A490" s="17" t="str">
        <x:v>MTS-0489</x:v>
      </x:c>
      <x:c r="B490" s="17" t="str">
        <x:v>Secure File Sharing Coach</x:v>
      </x:c>
      <x:c r="C490" s="17" t="str">
        <x:v>Email and Messaging Security</x:v>
      </x:c>
      <x:c r="D490" s="17" t="str">
        <x:v>Browser + Web</x:v>
      </x:c>
      <x:c r="E490" s="17" t="str">
        <x:v>Consumers and small businesses</x:v>
      </x:c>
      <x:c r="F490" s="18" t="str">
        <x:v>Secure File Sharing Coach provides a focused email and messaging security workflow for consumers and small businesses.</x:v>
      </x:c>
      <x:c r="G490" s="18" t="str">
        <x:v>Message Audit, Sender Checks, Recovery, Evidence</x:v>
      </x:c>
      <x:c r="H490" s="17" t="str">
        <x:v>Subscription + Pro</x:v>
      </x:c>
      <x:c r="I490" s="17" t="str">
        <x:v>Medium</x:v>
      </x:c>
      <x:c r="J490" s="17" t="str">
        <x:v>New candidate</x:v>
      </x:c>
      <x:c r="K490" s="17" t="str">
        <x:v>Unreviewed</x:v>
      </x:c>
      <x:c r="L490" s="17"/>
      <x:c r="M490" s="17"/>
      <x:c r="N490" s="17"/>
      <x:c r="O490" s="17"/>
      <x:c r="P490" s="17"/>
      <x:c r="Q490" s="17" t="str">
        <x:f>IF(COUNT(L490:P490)&lt;5,"",ROUND((L490*25+M490*20+N490*20+O490*20+P490*15)/5,1))</x:f>
      </x:c>
      <x:c r="R490" s="18" t="str"/>
      <x:c r="S490" s="18" t="str"/>
      <x:c r="T490" s="17" t="str"/>
      <x:c r="U490" s="19"/>
    </x:row>
    <x:row r="491">
      <x:c r="A491" s="17" t="str">
        <x:v>MTS-0490</x:v>
      </x:c>
      <x:c r="B491" s="17" t="str">
        <x:v>Email Recovery Readiness</x:v>
      </x:c>
      <x:c r="C491" s="17" t="str">
        <x:v>Email and Messaging Security</x:v>
      </x:c>
      <x:c r="D491" s="17" t="str">
        <x:v>Browser + Web</x:v>
      </x:c>
      <x:c r="E491" s="17" t="str">
        <x:v>Consumers and small businesses</x:v>
      </x:c>
      <x:c r="F491" s="18" t="str">
        <x:v>Email Recovery Readiness provides a focused email and messaging security workflow for consumers and small businesses.</x:v>
      </x:c>
      <x:c r="G491" s="18" t="str">
        <x:v>Message Audit, Sender Checks, Recovery, Evidence</x:v>
      </x:c>
      <x:c r="H491" s="17" t="str">
        <x:v>Subscription + Pro</x:v>
      </x:c>
      <x:c r="I491" s="17" t="str">
        <x:v>Medium</x:v>
      </x:c>
      <x:c r="J491" s="17" t="str">
        <x:v>New candidate</x:v>
      </x:c>
      <x:c r="K491" s="17" t="str">
        <x:v>Unreviewed</x:v>
      </x:c>
      <x:c r="L491" s="17"/>
      <x:c r="M491" s="17"/>
      <x:c r="N491" s="17"/>
      <x:c r="O491" s="17"/>
      <x:c r="P491" s="17"/>
      <x:c r="Q491" s="17" t="str">
        <x:f>IF(COUNT(L491:P491)&lt;5,"",ROUND((L491*25+M491*20+N491*20+O491*20+P491*15)/5,1))</x:f>
      </x:c>
      <x:c r="R491" s="18" t="str"/>
      <x:c r="S491" s="18" t="str"/>
      <x:c r="T491" s="17" t="str"/>
      <x:c r="U491" s="19"/>
    </x:row>
    <x:row r="492">
      <x:c r="A492" s="17" t="str">
        <x:v>MTS-0491</x:v>
      </x:c>
      <x:c r="B492" s="17" t="str">
        <x:v>Business Email Fraud Drill</x:v>
      </x:c>
      <x:c r="C492" s="17" t="str">
        <x:v>Email and Messaging Security</x:v>
      </x:c>
      <x:c r="D492" s="17" t="str">
        <x:v>Browser + Web</x:v>
      </x:c>
      <x:c r="E492" s="17" t="str">
        <x:v>Consumers and small businesses</x:v>
      </x:c>
      <x:c r="F492" s="18" t="str">
        <x:v>Business Email Fraud Drill provides a focused email and messaging security workflow for consumers and small businesses.</x:v>
      </x:c>
      <x:c r="G492" s="18" t="str">
        <x:v>Message Audit, Sender Checks, Recovery, Evidence</x:v>
      </x:c>
      <x:c r="H492" s="17" t="str">
        <x:v>Subscription + Pro</x:v>
      </x:c>
      <x:c r="I492" s="17" t="str">
        <x:v>Medium</x:v>
      </x:c>
      <x:c r="J492" s="17" t="str">
        <x:v>New candidate</x:v>
      </x:c>
      <x:c r="K492" s="17" t="str">
        <x:v>Unreviewed</x:v>
      </x:c>
      <x:c r="L492" s="17"/>
      <x:c r="M492" s="17"/>
      <x:c r="N492" s="17"/>
      <x:c r="O492" s="17"/>
      <x:c r="P492" s="17"/>
      <x:c r="Q492" s="17" t="str">
        <x:f>IF(COUNT(L492:P492)&lt;5,"",ROUND((L492*25+M492*20+N492*20+O492*20+P492*15)/5,1))</x:f>
      </x:c>
      <x:c r="R492" s="18" t="str"/>
      <x:c r="S492" s="18" t="str"/>
      <x:c r="T492" s="17" t="str"/>
      <x:c r="U492" s="19"/>
    </x:row>
    <x:row r="493">
      <x:c r="A493" s="17" t="str">
        <x:v>MTS-0492</x:v>
      </x:c>
      <x:c r="B493" s="17" t="str">
        <x:v>Message Evidence Exporter</x:v>
      </x:c>
      <x:c r="C493" s="17" t="str">
        <x:v>Email and Messaging Security</x:v>
      </x:c>
      <x:c r="D493" s="17" t="str">
        <x:v>Browser + Web</x:v>
      </x:c>
      <x:c r="E493" s="17" t="str">
        <x:v>Consumers and small businesses</x:v>
      </x:c>
      <x:c r="F493" s="18" t="str">
        <x:v>Message Evidence Exporter provides a focused email and messaging security workflow for consumers and small businesses.</x:v>
      </x:c>
      <x:c r="G493" s="18" t="str">
        <x:v>Message Audit, Sender Checks, Recovery, Evidence</x:v>
      </x:c>
      <x:c r="H493" s="17" t="str">
        <x:v>Subscription + Pro</x:v>
      </x:c>
      <x:c r="I493" s="17" t="str">
        <x:v>Medium</x:v>
      </x:c>
      <x:c r="J493" s="17" t="str">
        <x:v>New candidate</x:v>
      </x:c>
      <x:c r="K493" s="17" t="str">
        <x:v>Unreviewed</x:v>
      </x:c>
      <x:c r="L493" s="17"/>
      <x:c r="M493" s="17"/>
      <x:c r="N493" s="17"/>
      <x:c r="O493" s="17"/>
      <x:c r="P493" s="17"/>
      <x:c r="Q493" s="17" t="str">
        <x:f>IF(COUNT(L493:P493)&lt;5,"",ROUND((L493*25+M493*20+N493*20+O493*20+P493*15)/5,1))</x:f>
      </x:c>
      <x:c r="R493" s="18" t="str"/>
      <x:c r="S493" s="18" t="str"/>
      <x:c r="T493" s="17" t="str"/>
      <x:c r="U493" s="19"/>
    </x:row>
    <x:row r="494">
      <x:c r="A494" s="17" t="str">
        <x:v>MTS-0493</x:v>
      </x:c>
      <x:c r="B494" s="17" t="str">
        <x:v>Extension Permission Auditor</x:v>
      </x:c>
      <x:c r="C494" s="17" t="str">
        <x:v>Browser Security and Privacy</x:v>
      </x:c>
      <x:c r="D494" s="17" t="str">
        <x:v>Browser Extension</x:v>
      </x:c>
      <x:c r="E494" s="17" t="str">
        <x:v>Consumers and knowledge workers</x:v>
      </x:c>
      <x:c r="F494" s="18" t="str">
        <x:v>Extension Permission Auditor provides a focused browser security and privacy workflow for consumers and knowledge workers.</x:v>
      </x:c>
      <x:c r="G494" s="18" t="str">
        <x:v>Extension Audit, Site Permissions, Privacy, Alerts</x:v>
      </x:c>
      <x:c r="H494" s="17" t="str">
        <x:v>Annual Pro</x:v>
      </x:c>
      <x:c r="I494" s="17" t="str">
        <x:v>Small</x:v>
      </x:c>
      <x:c r="J494" s="17" t="str">
        <x:v>New candidate</x:v>
      </x:c>
      <x:c r="K494" s="17" t="str">
        <x:v>Unreviewed</x:v>
      </x:c>
      <x:c r="L494" s="17"/>
      <x:c r="M494" s="17"/>
      <x:c r="N494" s="17"/>
      <x:c r="O494" s="17"/>
      <x:c r="P494" s="17"/>
      <x:c r="Q494" s="17" t="str">
        <x:f>IF(COUNT(L494:P494)&lt;5,"",ROUND((L494*25+M494*20+N494*20+O494*20+P494*15)/5,1))</x:f>
      </x:c>
      <x:c r="R494" s="18" t="str"/>
      <x:c r="S494" s="18" t="str"/>
      <x:c r="T494" s="17" t="str"/>
      <x:c r="U494" s="19"/>
    </x:row>
    <x:row r="495">
      <x:c r="A495" s="17" t="str">
        <x:v>MTS-0494</x:v>
      </x:c>
      <x:c r="B495" s="17" t="str">
        <x:v>Browser Privacy Configuration</x:v>
      </x:c>
      <x:c r="C495" s="17" t="str">
        <x:v>Browser Security and Privacy</x:v>
      </x:c>
      <x:c r="D495" s="17" t="str">
        <x:v>Browser Extension</x:v>
      </x:c>
      <x:c r="E495" s="17" t="str">
        <x:v>Consumers and knowledge workers</x:v>
      </x:c>
      <x:c r="F495" s="18" t="str">
        <x:v>Browser Privacy Configuration provides a focused browser security and privacy workflow for consumers and knowledge workers.</x:v>
      </x:c>
      <x:c r="G495" s="18" t="str">
        <x:v>Extension Audit, Site Permissions, Privacy, Alerts</x:v>
      </x:c>
      <x:c r="H495" s="17" t="str">
        <x:v>Annual Pro</x:v>
      </x:c>
      <x:c r="I495" s="17" t="str">
        <x:v>Small</x:v>
      </x:c>
      <x:c r="J495" s="17" t="str">
        <x:v>New candidate</x:v>
      </x:c>
      <x:c r="K495" s="17" t="str">
        <x:v>Unreviewed</x:v>
      </x:c>
      <x:c r="L495" s="17"/>
      <x:c r="M495" s="17"/>
      <x:c r="N495" s="17"/>
      <x:c r="O495" s="17"/>
      <x:c r="P495" s="17"/>
      <x:c r="Q495" s="17" t="str">
        <x:f>IF(COUNT(L495:P495)&lt;5,"",ROUND((L495*25+M495*20+N495*20+O495*20+P495*15)/5,1))</x:f>
      </x:c>
      <x:c r="R495" s="18" t="str"/>
      <x:c r="S495" s="18" t="str"/>
      <x:c r="T495" s="17" t="str"/>
      <x:c r="U495" s="19"/>
    </x:row>
    <x:row r="496">
      <x:c r="A496" s="17" t="str">
        <x:v>MTS-0495</x:v>
      </x:c>
      <x:c r="B496" s="17" t="str">
        <x:v>Saved Password Exposure Guide</x:v>
      </x:c>
      <x:c r="C496" s="17" t="str">
        <x:v>Browser Security and Privacy</x:v>
      </x:c>
      <x:c r="D496" s="17" t="str">
        <x:v>Browser Extension</x:v>
      </x:c>
      <x:c r="E496" s="17" t="str">
        <x:v>Consumers and knowledge workers</x:v>
      </x:c>
      <x:c r="F496" s="18" t="str">
        <x:v>Saved Password Exposure Guide provides a focused browser security and privacy workflow for consumers and knowledge workers.</x:v>
      </x:c>
      <x:c r="G496" s="18" t="str">
        <x:v>Extension Audit, Site Permissions, Privacy, Alerts</x:v>
      </x:c>
      <x:c r="H496" s="17" t="str">
        <x:v>Annual Pro</x:v>
      </x:c>
      <x:c r="I496" s="17" t="str">
        <x:v>Small</x:v>
      </x:c>
      <x:c r="J496" s="17" t="str">
        <x:v>New candidate</x:v>
      </x:c>
      <x:c r="K496" s="17" t="str">
        <x:v>Unreviewed</x:v>
      </x:c>
      <x:c r="L496" s="17"/>
      <x:c r="M496" s="17"/>
      <x:c r="N496" s="17"/>
      <x:c r="O496" s="17"/>
      <x:c r="P496" s="17"/>
      <x:c r="Q496" s="17" t="str">
        <x:f>IF(COUNT(L496:P496)&lt;5,"",ROUND((L496*25+M496*20+N496*20+O496*20+P496*15)/5,1))</x:f>
      </x:c>
      <x:c r="R496" s="18" t="str"/>
      <x:c r="S496" s="18" t="str"/>
      <x:c r="T496" s="17" t="str"/>
      <x:c r="U496" s="19"/>
    </x:row>
    <x:row r="497">
      <x:c r="A497" s="17" t="str">
        <x:v>MTS-0496</x:v>
      </x:c>
      <x:c r="B497" s="17" t="str">
        <x:v>Cookie Inventory Viewer</x:v>
      </x:c>
      <x:c r="C497" s="17" t="str">
        <x:v>Browser Security and Privacy</x:v>
      </x:c>
      <x:c r="D497" s="17" t="str">
        <x:v>Browser Extension</x:v>
      </x:c>
      <x:c r="E497" s="17" t="str">
        <x:v>Consumers and knowledge workers</x:v>
      </x:c>
      <x:c r="F497" s="18" t="str">
        <x:v>Cookie Inventory Viewer provides a focused browser security and privacy workflow for consumers and knowledge workers.</x:v>
      </x:c>
      <x:c r="G497" s="18" t="str">
        <x:v>Extension Audit, Site Permissions, Privacy, Alerts</x:v>
      </x:c>
      <x:c r="H497" s="17" t="str">
        <x:v>Annual Pro</x:v>
      </x:c>
      <x:c r="I497" s="17" t="str">
        <x:v>Small</x:v>
      </x:c>
      <x:c r="J497" s="17" t="str">
        <x:v>New candidate</x:v>
      </x:c>
      <x:c r="K497" s="17" t="str">
        <x:v>Unreviewed</x:v>
      </x:c>
      <x:c r="L497" s="17"/>
      <x:c r="M497" s="17"/>
      <x:c r="N497" s="17"/>
      <x:c r="O497" s="17"/>
      <x:c r="P497" s="17"/>
      <x:c r="Q497" s="17" t="str">
        <x:f>IF(COUNT(L497:P497)&lt;5,"",ROUND((L497*25+M497*20+N497*20+O497*20+P497*15)/5,1))</x:f>
      </x:c>
      <x:c r="R497" s="18" t="str"/>
      <x:c r="S497" s="18" t="str"/>
      <x:c r="T497" s="17" t="str"/>
      <x:c r="U497" s="19"/>
    </x:row>
    <x:row r="498">
      <x:c r="A498" s="17" t="str">
        <x:v>MTS-0497</x:v>
      </x:c>
      <x:c r="B498" s="17" t="str">
        <x:v>Site Permission Cleaner</x:v>
      </x:c>
      <x:c r="C498" s="17" t="str">
        <x:v>Browser Security and Privacy</x:v>
      </x:c>
      <x:c r="D498" s="17" t="str">
        <x:v>Browser Extension</x:v>
      </x:c>
      <x:c r="E498" s="17" t="str">
        <x:v>Consumers and knowledge workers</x:v>
      </x:c>
      <x:c r="F498" s="18" t="str">
        <x:v>Site Permission Cleaner provides a focused browser security and privacy workflow for consumers and knowledge workers.</x:v>
      </x:c>
      <x:c r="G498" s="18" t="str">
        <x:v>Extension Audit, Site Permissions, Privacy, Alerts</x:v>
      </x:c>
      <x:c r="H498" s="17" t="str">
        <x:v>Annual Pro</x:v>
      </x:c>
      <x:c r="I498" s="17" t="str">
        <x:v>Small</x:v>
      </x:c>
      <x:c r="J498" s="17" t="str">
        <x:v>New candidate</x:v>
      </x:c>
      <x:c r="K498" s="17" t="str">
        <x:v>Unreviewed</x:v>
      </x:c>
      <x:c r="L498" s="17"/>
      <x:c r="M498" s="17"/>
      <x:c r="N498" s="17"/>
      <x:c r="O498" s="17"/>
      <x:c r="P498" s="17"/>
      <x:c r="Q498" s="17" t="str">
        <x:f>IF(COUNT(L498:P498)&lt;5,"",ROUND((L498*25+M498*20+N498*20+O498*20+P498*15)/5,1))</x:f>
      </x:c>
      <x:c r="R498" s="18" t="str"/>
      <x:c r="S498" s="18" t="str"/>
      <x:c r="T498" s="17" t="str"/>
      <x:c r="U498" s="19"/>
    </x:row>
    <x:row r="499">
      <x:c r="A499" s="17" t="str">
        <x:v>MTS-0498</x:v>
      </x:c>
      <x:c r="B499" s="17" t="str">
        <x:v>Browser Download Risk Review</x:v>
      </x:c>
      <x:c r="C499" s="17" t="str">
        <x:v>Browser Security and Privacy</x:v>
      </x:c>
      <x:c r="D499" s="17" t="str">
        <x:v>Browser Extension</x:v>
      </x:c>
      <x:c r="E499" s="17" t="str">
        <x:v>Consumers and knowledge workers</x:v>
      </x:c>
      <x:c r="F499" s="18" t="str">
        <x:v>Browser Download Risk Review provides a focused browser security and privacy workflow for consumers and knowledge workers.</x:v>
      </x:c>
      <x:c r="G499" s="18" t="str">
        <x:v>Extension Audit, Site Permissions, Privacy, Alerts</x:v>
      </x:c>
      <x:c r="H499" s="17" t="str">
        <x:v>Annual Pro</x:v>
      </x:c>
      <x:c r="I499" s="17" t="str">
        <x:v>Small</x:v>
      </x:c>
      <x:c r="J499" s="17" t="str">
        <x:v>New candidate</x:v>
      </x:c>
      <x:c r="K499" s="17" t="str">
        <x:v>Unreviewed</x:v>
      </x:c>
      <x:c r="L499" s="17"/>
      <x:c r="M499" s="17"/>
      <x:c r="N499" s="17"/>
      <x:c r="O499" s="17"/>
      <x:c r="P499" s="17"/>
      <x:c r="Q499" s="17" t="str">
        <x:f>IF(COUNT(L499:P499)&lt;5,"",ROUND((L499*25+M499*20+N499*20+O499*20+P499*15)/5,1))</x:f>
      </x:c>
      <x:c r="R499" s="18" t="str"/>
      <x:c r="S499" s="18" t="str"/>
      <x:c r="T499" s="17" t="str"/>
      <x:c r="U499" s="19"/>
    </x:row>
    <x:row r="500">
      <x:c r="A500" s="17" t="str">
        <x:v>MTS-0499</x:v>
      </x:c>
      <x:c r="B500" s="17" t="str">
        <x:v>HTTPS Downgrade Warning Log</x:v>
      </x:c>
      <x:c r="C500" s="17" t="str">
        <x:v>Browser Security and Privacy</x:v>
      </x:c>
      <x:c r="D500" s="17" t="str">
        <x:v>Browser Extension</x:v>
      </x:c>
      <x:c r="E500" s="17" t="str">
        <x:v>Consumers and knowledge workers</x:v>
      </x:c>
      <x:c r="F500" s="18" t="str">
        <x:v>HTTPS Downgrade Warning Log provides a focused browser security and privacy workflow for consumers and knowledge workers.</x:v>
      </x:c>
      <x:c r="G500" s="18" t="str">
        <x:v>Extension Audit, Site Permissions, Privacy, Alerts</x:v>
      </x:c>
      <x:c r="H500" s="17" t="str">
        <x:v>Annual Pro</x:v>
      </x:c>
      <x:c r="I500" s="17" t="str">
        <x:v>Small</x:v>
      </x:c>
      <x:c r="J500" s="17" t="str">
        <x:v>New candidate</x:v>
      </x:c>
      <x:c r="K500" s="17" t="str">
        <x:v>Unreviewed</x:v>
      </x:c>
      <x:c r="L500" s="17"/>
      <x:c r="M500" s="17"/>
      <x:c r="N500" s="17"/>
      <x:c r="O500" s="17"/>
      <x:c r="P500" s="17"/>
      <x:c r="Q500" s="17" t="str">
        <x:f>IF(COUNT(L500:P500)&lt;5,"",ROUND((L500*25+M500*20+N500*20+O500*20+P500*15)/5,1))</x:f>
      </x:c>
      <x:c r="R500" s="18" t="str"/>
      <x:c r="S500" s="18" t="str"/>
      <x:c r="T500" s="17" t="str"/>
      <x:c r="U500" s="19"/>
    </x:row>
    <x:row r="501">
      <x:c r="A501" s="17" t="str">
        <x:v>MTS-0500</x:v>
      </x:c>
      <x:c r="B501" s="17" t="str">
        <x:v>Malicious Redirect Reporter</x:v>
      </x:c>
      <x:c r="C501" s="17" t="str">
        <x:v>Browser Security and Privacy</x:v>
      </x:c>
      <x:c r="D501" s="17" t="str">
        <x:v>Browser Extension</x:v>
      </x:c>
      <x:c r="E501" s="17" t="str">
        <x:v>Consumers and knowledge workers</x:v>
      </x:c>
      <x:c r="F501" s="18" t="str">
        <x:v>Malicious Redirect Reporter provides a focused browser security and privacy workflow for consumers and knowledge workers.</x:v>
      </x:c>
      <x:c r="G501" s="18" t="str">
        <x:v>Extension Audit, Site Permissions, Privacy, Alerts</x:v>
      </x:c>
      <x:c r="H501" s="17" t="str">
        <x:v>Annual Pro</x:v>
      </x:c>
      <x:c r="I501" s="17" t="str">
        <x:v>Small</x:v>
      </x:c>
      <x:c r="J501" s="17" t="str">
        <x:v>New candidate</x:v>
      </x:c>
      <x:c r="K501" s="17" t="str">
        <x:v>Unreviewed</x:v>
      </x:c>
      <x:c r="L501" s="17"/>
      <x:c r="M501" s="17"/>
      <x:c r="N501" s="17"/>
      <x:c r="O501" s="17"/>
      <x:c r="P501" s="17"/>
      <x:c r="Q501" s="17" t="str">
        <x:f>IF(COUNT(L501:P501)&lt;5,"",ROUND((L501*25+M501*20+N501*20+O501*20+P501*15)/5,1))</x:f>
      </x:c>
      <x:c r="R501" s="18" t="str"/>
      <x:c r="S501" s="18" t="str"/>
      <x:c r="T501" s="17" t="str"/>
      <x:c r="U501" s="19"/>
    </x:row>
    <x:row r="502">
      <x:c r="A502" s="17" t="str">
        <x:v>MTS-0501</x:v>
      </x:c>
      <x:c r="B502" s="17" t="str">
        <x:v>Session Cleanup Assistant</x:v>
      </x:c>
      <x:c r="C502" s="17" t="str">
        <x:v>Browser Security and Privacy</x:v>
      </x:c>
      <x:c r="D502" s="17" t="str">
        <x:v>Browser Extension</x:v>
      </x:c>
      <x:c r="E502" s="17" t="str">
        <x:v>Consumers and knowledge workers</x:v>
      </x:c>
      <x:c r="F502" s="18" t="str">
        <x:v>Session Cleanup Assistant provides a focused browser security and privacy workflow for consumers and knowledge workers.</x:v>
      </x:c>
      <x:c r="G502" s="18" t="str">
        <x:v>Extension Audit, Site Permissions, Privacy, Alerts</x:v>
      </x:c>
      <x:c r="H502" s="17" t="str">
        <x:v>Annual Pro</x:v>
      </x:c>
      <x:c r="I502" s="17" t="str">
        <x:v>Small</x:v>
      </x:c>
      <x:c r="J502" s="17" t="str">
        <x:v>New candidate</x:v>
      </x:c>
      <x:c r="K502" s="17" t="str">
        <x:v>Unreviewed</x:v>
      </x:c>
      <x:c r="L502" s="17"/>
      <x:c r="M502" s="17"/>
      <x:c r="N502" s="17"/>
      <x:c r="O502" s="17"/>
      <x:c r="P502" s="17"/>
      <x:c r="Q502" s="17" t="str">
        <x:f>IF(COUNT(L502:P502)&lt;5,"",ROUND((L502*25+M502*20+N502*20+O502*20+P502*15)/5,1))</x:f>
      </x:c>
      <x:c r="R502" s="18" t="str"/>
      <x:c r="S502" s="18" t="str"/>
      <x:c r="T502" s="17" t="str"/>
      <x:c r="U502" s="19"/>
    </x:row>
    <x:row r="503">
      <x:c r="A503" s="17" t="str">
        <x:v>MTS-0502</x:v>
      </x:c>
      <x:c r="B503" s="17" t="str">
        <x:v>Autofill Privacy Audit</x:v>
      </x:c>
      <x:c r="C503" s="17" t="str">
        <x:v>Browser Security and Privacy</x:v>
      </x:c>
      <x:c r="D503" s="17" t="str">
        <x:v>Browser Extension</x:v>
      </x:c>
      <x:c r="E503" s="17" t="str">
        <x:v>Consumers and knowledge workers</x:v>
      </x:c>
      <x:c r="F503" s="18" t="str">
        <x:v>Autofill Privacy Audit provides a focused browser security and privacy workflow for consumers and knowledge workers.</x:v>
      </x:c>
      <x:c r="G503" s="18" t="str">
        <x:v>Extension Audit, Site Permissions, Privacy, Alerts</x:v>
      </x:c>
      <x:c r="H503" s="17" t="str">
        <x:v>Annual Pro</x:v>
      </x:c>
      <x:c r="I503" s="17" t="str">
        <x:v>Small</x:v>
      </x:c>
      <x:c r="J503" s="17" t="str">
        <x:v>New candidate</x:v>
      </x:c>
      <x:c r="K503" s="17" t="str">
        <x:v>Unreviewed</x:v>
      </x:c>
      <x:c r="L503" s="17"/>
      <x:c r="M503" s="17"/>
      <x:c r="N503" s="17"/>
      <x:c r="O503" s="17"/>
      <x:c r="P503" s="17"/>
      <x:c r="Q503" s="17" t="str">
        <x:f>IF(COUNT(L503:P503)&lt;5,"",ROUND((L503*25+M503*20+N503*20+O503*20+P503*15)/5,1))</x:f>
      </x:c>
      <x:c r="R503" s="18" t="str"/>
      <x:c r="S503" s="18" t="str"/>
      <x:c r="T503" s="17" t="str"/>
      <x:c r="U503" s="19"/>
    </x:row>
    <x:row r="504">
      <x:c r="A504" s="17" t="str">
        <x:v>MTS-0503</x:v>
      </x:c>
      <x:c r="B504" s="17" t="str">
        <x:v>Browser Profile Security Check</x:v>
      </x:c>
      <x:c r="C504" s="17" t="str">
        <x:v>Browser Security and Privacy</x:v>
      </x:c>
      <x:c r="D504" s="17" t="str">
        <x:v>Browser Extension</x:v>
      </x:c>
      <x:c r="E504" s="17" t="str">
        <x:v>Consumers and knowledge workers</x:v>
      </x:c>
      <x:c r="F504" s="18" t="str">
        <x:v>Browser Profile Security Check provides a focused browser security and privacy workflow for consumers and knowledge workers.</x:v>
      </x:c>
      <x:c r="G504" s="18" t="str">
        <x:v>Extension Audit, Site Permissions, Privacy, Alerts</x:v>
      </x:c>
      <x:c r="H504" s="17" t="str">
        <x:v>Annual Pro</x:v>
      </x:c>
      <x:c r="I504" s="17" t="str">
        <x:v>Small</x:v>
      </x:c>
      <x:c r="J504" s="17" t="str">
        <x:v>New candidate</x:v>
      </x:c>
      <x:c r="K504" s="17" t="str">
        <x:v>Unreviewed</x:v>
      </x:c>
      <x:c r="L504" s="17"/>
      <x:c r="M504" s="17"/>
      <x:c r="N504" s="17"/>
      <x:c r="O504" s="17"/>
      <x:c r="P504" s="17"/>
      <x:c r="Q504" s="17" t="str">
        <x:f>IF(COUNT(L504:P504)&lt;5,"",ROUND((L504*25+M504*20+N504*20+O504*20+P504*15)/5,1))</x:f>
      </x:c>
      <x:c r="R504" s="18" t="str"/>
      <x:c r="S504" s="18" t="str"/>
      <x:c r="T504" s="17" t="str"/>
      <x:c r="U504" s="19"/>
    </x:row>
    <x:row r="505">
      <x:c r="A505" s="17" t="str">
        <x:v>MTS-0504</x:v>
      </x:c>
      <x:c r="B505" s="17" t="str">
        <x:v>Private Browsing Education</x:v>
      </x:c>
      <x:c r="C505" s="17" t="str">
        <x:v>Browser Security and Privacy</x:v>
      </x:c>
      <x:c r="D505" s="17" t="str">
        <x:v>Browser Extension</x:v>
      </x:c>
      <x:c r="E505" s="17" t="str">
        <x:v>Consumers and knowledge workers</x:v>
      </x:c>
      <x:c r="F505" s="18" t="str">
        <x:v>Private Browsing Education provides a focused browser security and privacy workflow for consumers and knowledge workers.</x:v>
      </x:c>
      <x:c r="G505" s="18" t="str">
        <x:v>Extension Audit, Site Permissions, Privacy, Alerts</x:v>
      </x:c>
      <x:c r="H505" s="17" t="str">
        <x:v>Annual Pro</x:v>
      </x:c>
      <x:c r="I505" s="17" t="str">
        <x:v>Small</x:v>
      </x:c>
      <x:c r="J505" s="17" t="str">
        <x:v>New candidate</x:v>
      </x:c>
      <x:c r="K505" s="17" t="str">
        <x:v>Unreviewed</x:v>
      </x:c>
      <x:c r="L505" s="17"/>
      <x:c r="M505" s="17"/>
      <x:c r="N505" s="17"/>
      <x:c r="O505" s="17"/>
      <x:c r="P505" s="17"/>
      <x:c r="Q505" s="17" t="str">
        <x:f>IF(COUNT(L505:P505)&lt;5,"",ROUND((L505*25+M505*20+N505*20+O505*20+P505*15)/5,1))</x:f>
      </x:c>
      <x:c r="R505" s="18" t="str"/>
      <x:c r="S505" s="18" t="str"/>
      <x:c r="T505" s="17" t="str"/>
      <x:c r="U505" s="19"/>
    </x:row>
    <x:row r="506">
      <x:c r="A506" s="17" t="str">
        <x:v>MTS-0505</x:v>
      </x:c>
      <x:c r="B506" s="17" t="str">
        <x:v>Smart Home Device Inventory</x:v>
      </x:c>
      <x:c r="C506" s="17" t="str">
        <x:v>IoT and Smart Home Security</x:v>
      </x:c>
      <x:c r="D506" s="17" t="str">
        <x:v>Mobile + Web</x:v>
      </x:c>
      <x:c r="E506" s="17" t="str">
        <x:v>Smart-home owners and installers</x:v>
      </x:c>
      <x:c r="F506" s="18" t="str">
        <x:v>Smart Home Device Inventory provides a focused iot and smart home security workflow for smart-home owners and installers.</x:v>
      </x:c>
      <x:c r="G506" s="18" t="str">
        <x:v>Device Inventory, Access Review, Updates, Incidents</x:v>
      </x:c>
      <x:c r="H506" s="17" t="str">
        <x:v>Subscription + Pro</x:v>
      </x:c>
      <x:c r="I506" s="17" t="str">
        <x:v>Medium</x:v>
      </x:c>
      <x:c r="J506" s="17" t="str">
        <x:v>New candidate</x:v>
      </x:c>
      <x:c r="K506" s="17" t="str">
        <x:v>Unreviewed</x:v>
      </x:c>
      <x:c r="L506" s="17"/>
      <x:c r="M506" s="17"/>
      <x:c r="N506" s="17"/>
      <x:c r="O506" s="17"/>
      <x:c r="P506" s="17"/>
      <x:c r="Q506" s="17" t="str">
        <x:f>IF(COUNT(L506:P506)&lt;5,"",ROUND((L506*25+M506*20+N506*20+O506*20+P506*15)/5,1))</x:f>
      </x:c>
      <x:c r="R506" s="18" t="str"/>
      <x:c r="S506" s="18" t="str"/>
      <x:c r="T506" s="17" t="str"/>
      <x:c r="U506" s="19"/>
    </x:row>
    <x:row r="507">
      <x:c r="A507" s="17" t="str">
        <x:v>MTS-0506</x:v>
      </x:c>
      <x:c r="B507" s="17" t="str">
        <x:v>Default Password Replacement Tracker</x:v>
      </x:c>
      <x:c r="C507" s="17" t="str">
        <x:v>IoT and Smart Home Security</x:v>
      </x:c>
      <x:c r="D507" s="17" t="str">
        <x:v>Mobile + Web</x:v>
      </x:c>
      <x:c r="E507" s="17" t="str">
        <x:v>Smart-home owners and installers</x:v>
      </x:c>
      <x:c r="F507" s="18" t="str">
        <x:v>Default Password Replacement Tracker provides a focused iot and smart home security workflow for smart-home owners and installers.</x:v>
      </x:c>
      <x:c r="G507" s="18" t="str">
        <x:v>Device Inventory, Access Review, Updates, Incidents</x:v>
      </x:c>
      <x:c r="H507" s="17" t="str">
        <x:v>Subscription + Pro</x:v>
      </x:c>
      <x:c r="I507" s="17" t="str">
        <x:v>Medium</x:v>
      </x:c>
      <x:c r="J507" s="17" t="str">
        <x:v>New candidate</x:v>
      </x:c>
      <x:c r="K507" s="17" t="str">
        <x:v>Unreviewed</x:v>
      </x:c>
      <x:c r="L507" s="17"/>
      <x:c r="M507" s="17"/>
      <x:c r="N507" s="17"/>
      <x:c r="O507" s="17"/>
      <x:c r="P507" s="17"/>
      <x:c r="Q507" s="17" t="str">
        <x:f>IF(COUNT(L507:P507)&lt;5,"",ROUND((L507*25+M507*20+N507*20+O507*20+P507*15)/5,1))</x:f>
      </x:c>
      <x:c r="R507" s="18" t="str"/>
      <x:c r="S507" s="18" t="str"/>
      <x:c r="T507" s="17" t="str"/>
      <x:c r="U507" s="19"/>
    </x:row>
    <x:row r="508">
      <x:c r="A508" s="17" t="str">
        <x:v>MTS-0507</x:v>
      </x:c>
      <x:c r="B508" s="17" t="str">
        <x:v>IoT Firmware Reminder</x:v>
      </x:c>
      <x:c r="C508" s="17" t="str">
        <x:v>IoT and Smart Home Security</x:v>
      </x:c>
      <x:c r="D508" s="17" t="str">
        <x:v>Mobile + Web</x:v>
      </x:c>
      <x:c r="E508" s="17" t="str">
        <x:v>Smart-home owners and installers</x:v>
      </x:c>
      <x:c r="F508" s="18" t="str">
        <x:v>IoT Firmware Reminder provides a focused iot and smart home security workflow for smart-home owners and installers.</x:v>
      </x:c>
      <x:c r="G508" s="18" t="str">
        <x:v>Device Inventory, Access Review, Updates, Incidents</x:v>
      </x:c>
      <x:c r="H508" s="17" t="str">
        <x:v>Subscription + Pro</x:v>
      </x:c>
      <x:c r="I508" s="17" t="str">
        <x:v>Medium</x:v>
      </x:c>
      <x:c r="J508" s="17" t="str">
        <x:v>New candidate</x:v>
      </x:c>
      <x:c r="K508" s="17" t="str">
        <x:v>Unreviewed</x:v>
      </x:c>
      <x:c r="L508" s="17"/>
      <x:c r="M508" s="17"/>
      <x:c r="N508" s="17"/>
      <x:c r="O508" s="17"/>
      <x:c r="P508" s="17"/>
      <x:c r="Q508" s="17" t="str">
        <x:f>IF(COUNT(L508:P508)&lt;5,"",ROUND((L508*25+M508*20+N508*20+O508*20+P508*15)/5,1))</x:f>
      </x:c>
      <x:c r="R508" s="18" t="str"/>
      <x:c r="S508" s="18" t="str"/>
      <x:c r="T508" s="17" t="str"/>
      <x:c r="U508" s="19"/>
    </x:row>
    <x:row r="509">
      <x:c r="A509" s="17" t="str">
        <x:v>MTS-0508</x:v>
      </x:c>
      <x:c r="B509" s="17" t="str">
        <x:v>Camera Privacy Checklist</x:v>
      </x:c>
      <x:c r="C509" s="17" t="str">
        <x:v>IoT and Smart Home Security</x:v>
      </x:c>
      <x:c r="D509" s="17" t="str">
        <x:v>Mobile + Web</x:v>
      </x:c>
      <x:c r="E509" s="17" t="str">
        <x:v>Smart-home owners and installers</x:v>
      </x:c>
      <x:c r="F509" s="18" t="str">
        <x:v>Camera Privacy Checklist provides a focused iot and smart home security workflow for smart-home owners and installers.</x:v>
      </x:c>
      <x:c r="G509" s="18" t="str">
        <x:v>Device Inventory, Access Review, Updates, Incidents</x:v>
      </x:c>
      <x:c r="H509" s="17" t="str">
        <x:v>Subscription + Pro</x:v>
      </x:c>
      <x:c r="I509" s="17" t="str">
        <x:v>Medium</x:v>
      </x:c>
      <x:c r="J509" s="17" t="str">
        <x:v>New candidate</x:v>
      </x:c>
      <x:c r="K509" s="17" t="str">
        <x:v>Unreviewed</x:v>
      </x:c>
      <x:c r="L509" s="17"/>
      <x:c r="M509" s="17"/>
      <x:c r="N509" s="17"/>
      <x:c r="O509" s="17"/>
      <x:c r="P509" s="17"/>
      <x:c r="Q509" s="17" t="str">
        <x:f>IF(COUNT(L509:P509)&lt;5,"",ROUND((L509*25+M509*20+N509*20+O509*20+P509*15)/5,1))</x:f>
      </x:c>
      <x:c r="R509" s="18" t="str"/>
      <x:c r="S509" s="18" t="str"/>
      <x:c r="T509" s="17" t="str"/>
      <x:c r="U509" s="19"/>
    </x:row>
    <x:row r="510">
      <x:c r="A510" s="17" t="str">
        <x:v>MTS-0509</x:v>
      </x:c>
      <x:c r="B510" s="17" t="str">
        <x:v>Smart Speaker Privacy Audit</x:v>
      </x:c>
      <x:c r="C510" s="17" t="str">
        <x:v>IoT and Smart Home Security</x:v>
      </x:c>
      <x:c r="D510" s="17" t="str">
        <x:v>Mobile + Web</x:v>
      </x:c>
      <x:c r="E510" s="17" t="str">
        <x:v>Smart-home owners and installers</x:v>
      </x:c>
      <x:c r="F510" s="18" t="str">
        <x:v>Smart Speaker Privacy Audit provides a focused iot and smart home security workflow for smart-home owners and installers.</x:v>
      </x:c>
      <x:c r="G510" s="18" t="str">
        <x:v>Device Inventory, Access Review, Updates, Incidents</x:v>
      </x:c>
      <x:c r="H510" s="17" t="str">
        <x:v>Subscription + Pro</x:v>
      </x:c>
      <x:c r="I510" s="17" t="str">
        <x:v>Medium</x:v>
      </x:c>
      <x:c r="J510" s="17" t="str">
        <x:v>New candidate</x:v>
      </x:c>
      <x:c r="K510" s="17" t="str">
        <x:v>Unreviewed</x:v>
      </x:c>
      <x:c r="L510" s="17"/>
      <x:c r="M510" s="17"/>
      <x:c r="N510" s="17"/>
      <x:c r="O510" s="17"/>
      <x:c r="P510" s="17"/>
      <x:c r="Q510" s="17" t="str">
        <x:f>IF(COUNT(L510:P510)&lt;5,"",ROUND((L510*25+M510*20+N510*20+O510*20+P510*15)/5,1))</x:f>
      </x:c>
      <x:c r="R510" s="18" t="str"/>
      <x:c r="S510" s="18" t="str"/>
      <x:c r="T510" s="17" t="str"/>
      <x:c r="U510" s="19"/>
    </x:row>
    <x:row r="511">
      <x:c r="A511" s="17" t="str">
        <x:v>MTS-0510</x:v>
      </x:c>
      <x:c r="B511" s="17" t="str">
        <x:v>Doorbell Access Review</x:v>
      </x:c>
      <x:c r="C511" s="17" t="str">
        <x:v>IoT and Smart Home Security</x:v>
      </x:c>
      <x:c r="D511" s="17" t="str">
        <x:v>Mobile + Web</x:v>
      </x:c>
      <x:c r="E511" s="17" t="str">
        <x:v>Smart-home owners and installers</x:v>
      </x:c>
      <x:c r="F511" s="18" t="str">
        <x:v>Doorbell Access Review provides a focused iot and smart home security workflow for smart-home owners and installers.</x:v>
      </x:c>
      <x:c r="G511" s="18" t="str">
        <x:v>Device Inventory, Access Review, Updates, Incidents</x:v>
      </x:c>
      <x:c r="H511" s="17" t="str">
        <x:v>Subscription + Pro</x:v>
      </x:c>
      <x:c r="I511" s="17" t="str">
        <x:v>Medium</x:v>
      </x:c>
      <x:c r="J511" s="17" t="str">
        <x:v>New candidate</x:v>
      </x:c>
      <x:c r="K511" s="17" t="str">
        <x:v>Unreviewed</x:v>
      </x:c>
      <x:c r="L511" s="17"/>
      <x:c r="M511" s="17"/>
      <x:c r="N511" s="17"/>
      <x:c r="O511" s="17"/>
      <x:c r="P511" s="17"/>
      <x:c r="Q511" s="17" t="str">
        <x:f>IF(COUNT(L511:P511)&lt;5,"",ROUND((L511*25+M511*20+N511*20+O511*20+P511*15)/5,1))</x:f>
      </x:c>
      <x:c r="R511" s="18" t="str"/>
      <x:c r="S511" s="18" t="str"/>
      <x:c r="T511" s="17" t="str"/>
      <x:c r="U511" s="19"/>
    </x:row>
    <x:row r="512">
      <x:c r="A512" s="17" t="str">
        <x:v>MTS-0511</x:v>
      </x:c>
      <x:c r="B512" s="17" t="str">
        <x:v>Smart Lock Access Register</x:v>
      </x:c>
      <x:c r="C512" s="17" t="str">
        <x:v>IoT and Smart Home Security</x:v>
      </x:c>
      <x:c r="D512" s="17" t="str">
        <x:v>Mobile + Web</x:v>
      </x:c>
      <x:c r="E512" s="17" t="str">
        <x:v>Smart-home owners and installers</x:v>
      </x:c>
      <x:c r="F512" s="18" t="str">
        <x:v>Smart Lock Access Register provides a focused iot and smart home security workflow for smart-home owners and installers.</x:v>
      </x:c>
      <x:c r="G512" s="18" t="str">
        <x:v>Device Inventory, Access Review, Updates, Incidents</x:v>
      </x:c>
      <x:c r="H512" s="17" t="str">
        <x:v>Subscription + Pro</x:v>
      </x:c>
      <x:c r="I512" s="17" t="str">
        <x:v>Medium</x:v>
      </x:c>
      <x:c r="J512" s="17" t="str">
        <x:v>New candidate</x:v>
      </x:c>
      <x:c r="K512" s="17" t="str">
        <x:v>Unreviewed</x:v>
      </x:c>
      <x:c r="L512" s="17"/>
      <x:c r="M512" s="17"/>
      <x:c r="N512" s="17"/>
      <x:c r="O512" s="17"/>
      <x:c r="P512" s="17"/>
      <x:c r="Q512" s="17" t="str">
        <x:f>IF(COUNT(L512:P512)&lt;5,"",ROUND((L512*25+M512*20+N512*20+O512*20+P512*15)/5,1))</x:f>
      </x:c>
      <x:c r="R512" s="18" t="str"/>
      <x:c r="S512" s="18" t="str"/>
      <x:c r="T512" s="17" t="str"/>
      <x:c r="U512" s="19"/>
    </x:row>
    <x:row r="513">
      <x:c r="A513" s="17" t="str">
        <x:v>MTS-0512</x:v>
      </x:c>
      <x:c r="B513" s="17" t="str">
        <x:v>Connected Toy Privacy Check</x:v>
      </x:c>
      <x:c r="C513" s="17" t="str">
        <x:v>IoT and Smart Home Security</x:v>
      </x:c>
      <x:c r="D513" s="17" t="str">
        <x:v>Mobile + Web</x:v>
      </x:c>
      <x:c r="E513" s="17" t="str">
        <x:v>Smart-home owners and installers</x:v>
      </x:c>
      <x:c r="F513" s="18" t="str">
        <x:v>Connected Toy Privacy Check provides a focused iot and smart home security workflow for smart-home owners and installers.</x:v>
      </x:c>
      <x:c r="G513" s="18" t="str">
        <x:v>Device Inventory, Access Review, Updates, Incidents</x:v>
      </x:c>
      <x:c r="H513" s="17" t="str">
        <x:v>Subscription + Pro</x:v>
      </x:c>
      <x:c r="I513" s="17" t="str">
        <x:v>Medium</x:v>
      </x:c>
      <x:c r="J513" s="17" t="str">
        <x:v>New candidate</x:v>
      </x:c>
      <x:c r="K513" s="17" t="str">
        <x:v>Unreviewed</x:v>
      </x:c>
      <x:c r="L513" s="17"/>
      <x:c r="M513" s="17"/>
      <x:c r="N513" s="17"/>
      <x:c r="O513" s="17"/>
      <x:c r="P513" s="17"/>
      <x:c r="Q513" s="17" t="str">
        <x:f>IF(COUNT(L513:P513)&lt;5,"",ROUND((L513*25+M513*20+N513*20+O513*20+P513*15)/5,1))</x:f>
      </x:c>
      <x:c r="R513" s="18" t="str"/>
      <x:c r="S513" s="18" t="str"/>
      <x:c r="T513" s="17" t="str"/>
      <x:c r="U513" s="19"/>
    </x:row>
    <x:row r="514">
      <x:c r="A514" s="17" t="str">
        <x:v>MTS-0513</x:v>
      </x:c>
      <x:c r="B514" s="17" t="str">
        <x:v>Home Assistant Exposure Audit</x:v>
      </x:c>
      <x:c r="C514" s="17" t="str">
        <x:v>IoT and Smart Home Security</x:v>
      </x:c>
      <x:c r="D514" s="17" t="str">
        <x:v>Mobile + Web</x:v>
      </x:c>
      <x:c r="E514" s="17" t="str">
        <x:v>Smart-home owners and installers</x:v>
      </x:c>
      <x:c r="F514" s="18" t="str">
        <x:v>Home Assistant Exposure Audit provides a focused iot and smart home security workflow for smart-home owners and installers.</x:v>
      </x:c>
      <x:c r="G514" s="18" t="str">
        <x:v>Device Inventory, Access Review, Updates, Incidents</x:v>
      </x:c>
      <x:c r="H514" s="17" t="str">
        <x:v>Subscription + Pro</x:v>
      </x:c>
      <x:c r="I514" s="17" t="str">
        <x:v>Medium</x:v>
      </x:c>
      <x:c r="J514" s="17" t="str">
        <x:v>New candidate</x:v>
      </x:c>
      <x:c r="K514" s="17" t="str">
        <x:v>Unreviewed</x:v>
      </x:c>
      <x:c r="L514" s="17"/>
      <x:c r="M514" s="17"/>
      <x:c r="N514" s="17"/>
      <x:c r="O514" s="17"/>
      <x:c r="P514" s="17"/>
      <x:c r="Q514" s="17" t="str">
        <x:f>IF(COUNT(L514:P514)&lt;5,"",ROUND((L514*25+M514*20+N514*20+O514*20+P514*15)/5,1))</x:f>
      </x:c>
      <x:c r="R514" s="18" t="str"/>
      <x:c r="S514" s="18" t="str"/>
      <x:c r="T514" s="17" t="str"/>
      <x:c r="U514" s="19"/>
    </x:row>
    <x:row r="515">
      <x:c r="A515" s="17" t="str">
        <x:v>MTS-0514</x:v>
      </x:c>
      <x:c r="B515" s="17" t="str">
        <x:v>IoT End-of-Life Tracker</x:v>
      </x:c>
      <x:c r="C515" s="17" t="str">
        <x:v>IoT and Smart Home Security</x:v>
      </x:c>
      <x:c r="D515" s="17" t="str">
        <x:v>Mobile + Web</x:v>
      </x:c>
      <x:c r="E515" s="17" t="str">
        <x:v>Smart-home owners and installers</x:v>
      </x:c>
      <x:c r="F515" s="18" t="str">
        <x:v>IoT End-of-Life Tracker provides a focused iot and smart home security workflow for smart-home owners and installers.</x:v>
      </x:c>
      <x:c r="G515" s="18" t="str">
        <x:v>Device Inventory, Access Review, Updates, Incidents</x:v>
      </x:c>
      <x:c r="H515" s="17" t="str">
        <x:v>Subscription + Pro</x:v>
      </x:c>
      <x:c r="I515" s="17" t="str">
        <x:v>Medium</x:v>
      </x:c>
      <x:c r="J515" s="17" t="str">
        <x:v>New candidate</x:v>
      </x:c>
      <x:c r="K515" s="17" t="str">
        <x:v>Unreviewed</x:v>
      </x:c>
      <x:c r="L515" s="17"/>
      <x:c r="M515" s="17"/>
      <x:c r="N515" s="17"/>
      <x:c r="O515" s="17"/>
      <x:c r="P515" s="17"/>
      <x:c r="Q515" s="17" t="str">
        <x:f>IF(COUNT(L515:P515)&lt;5,"",ROUND((L515*25+M515*20+N515*20+O515*20+P515*15)/5,1))</x:f>
      </x:c>
      <x:c r="R515" s="18" t="str"/>
      <x:c r="S515" s="18" t="str"/>
      <x:c r="T515" s="17" t="str"/>
      <x:c r="U515" s="19"/>
    </x:row>
    <x:row r="516">
      <x:c r="A516" s="17" t="str">
        <x:v>MTS-0515</x:v>
      </x:c>
      <x:c r="B516" s="17" t="str">
        <x:v>Guest Smart Home Access</x:v>
      </x:c>
      <x:c r="C516" s="17" t="str">
        <x:v>IoT and Smart Home Security</x:v>
      </x:c>
      <x:c r="D516" s="17" t="str">
        <x:v>Mobile + Web</x:v>
      </x:c>
      <x:c r="E516" s="17" t="str">
        <x:v>Smart-home owners and installers</x:v>
      </x:c>
      <x:c r="F516" s="18" t="str">
        <x:v>Guest Smart Home Access provides a focused iot and smart home security workflow for smart-home owners and installers.</x:v>
      </x:c>
      <x:c r="G516" s="18" t="str">
        <x:v>Device Inventory, Access Review, Updates, Incidents</x:v>
      </x:c>
      <x:c r="H516" s="17" t="str">
        <x:v>Subscription + Pro</x:v>
      </x:c>
      <x:c r="I516" s="17" t="str">
        <x:v>Medium</x:v>
      </x:c>
      <x:c r="J516" s="17" t="str">
        <x:v>New candidate</x:v>
      </x:c>
      <x:c r="K516" s="17" t="str">
        <x:v>Unreviewed</x:v>
      </x:c>
      <x:c r="L516" s="17"/>
      <x:c r="M516" s="17"/>
      <x:c r="N516" s="17"/>
      <x:c r="O516" s="17"/>
      <x:c r="P516" s="17"/>
      <x:c r="Q516" s="17" t="str">
        <x:f>IF(COUNT(L516:P516)&lt;5,"",ROUND((L516*25+M516*20+N516*20+O516*20+P516*15)/5,1))</x:f>
      </x:c>
      <x:c r="R516" s="18" t="str"/>
      <x:c r="S516" s="18" t="str"/>
      <x:c r="T516" s="17" t="str"/>
      <x:c r="U516" s="19"/>
    </x:row>
    <x:row r="517">
      <x:c r="A517" s="17" t="str">
        <x:v>MTS-0516</x:v>
      </x:c>
      <x:c r="B517" s="17" t="str">
        <x:v>Smart Home Incident Log</x:v>
      </x:c>
      <x:c r="C517" s="17" t="str">
        <x:v>IoT and Smart Home Security</x:v>
      </x:c>
      <x:c r="D517" s="17" t="str">
        <x:v>Mobile + Web</x:v>
      </x:c>
      <x:c r="E517" s="17" t="str">
        <x:v>Smart-home owners and installers</x:v>
      </x:c>
      <x:c r="F517" s="18" t="str">
        <x:v>Smart Home Incident Log provides a focused iot and smart home security workflow for smart-home owners and installers.</x:v>
      </x:c>
      <x:c r="G517" s="18" t="str">
        <x:v>Device Inventory, Access Review, Updates, Incidents</x:v>
      </x:c>
      <x:c r="H517" s="17" t="str">
        <x:v>Subscription + Pro</x:v>
      </x:c>
      <x:c r="I517" s="17" t="str">
        <x:v>Medium</x:v>
      </x:c>
      <x:c r="J517" s="17" t="str">
        <x:v>New candidate</x:v>
      </x:c>
      <x:c r="K517" s="17" t="str">
        <x:v>Unreviewed</x:v>
      </x:c>
      <x:c r="L517" s="17"/>
      <x:c r="M517" s="17"/>
      <x:c r="N517" s="17"/>
      <x:c r="O517" s="17"/>
      <x:c r="P517" s="17"/>
      <x:c r="Q517" s="17" t="str">
        <x:f>IF(COUNT(L517:P517)&lt;5,"",ROUND((L517*25+M517*20+N517*20+O517*20+P517*15)/5,1))</x:f>
      </x:c>
      <x:c r="R517" s="18" t="str"/>
      <x:c r="S517" s="18" t="str"/>
      <x:c r="T517" s="17" t="str"/>
      <x:c r="U517" s="19"/>
    </x:row>
    <x:row r="518">
      <x:c r="A518" s="17" t="str">
        <x:v>MTS-0517</x:v>
      </x:c>
      <x:c r="B518" s="17" t="str">
        <x:v>Secret Exposure Preflight</x:v>
      </x:c>
      <x:c r="C518" s="17" t="str">
        <x:v>Developer and Repository Security</x:v>
      </x:c>
      <x:c r="D518" s="17" t="str">
        <x:v>Desktop + SaaS</x:v>
      </x:c>
      <x:c r="E518" s="17" t="str">
        <x:v>Developers and software teams</x:v>
      </x:c>
      <x:c r="F518" s="18" t="str">
        <x:v>Secret Exposure Preflight provides a focused developer and repository security workflow for developers and software teams.</x:v>
      </x:c>
      <x:c r="G518" s="18" t="str">
        <x:v>Repository Scan, Dependency Audit, Evidence, CI</x:v>
      </x:c>
      <x:c r="H518" s="17" t="str">
        <x:v>Subscription</x:v>
      </x:c>
      <x:c r="I518" s="17" t="str">
        <x:v>Large</x:v>
      </x:c>
      <x:c r="J518" s="17" t="str">
        <x:v>New candidate</x:v>
      </x:c>
      <x:c r="K518" s="17" t="str">
        <x:v>Unreviewed</x:v>
      </x:c>
      <x:c r="L518" s="17"/>
      <x:c r="M518" s="17"/>
      <x:c r="N518" s="17"/>
      <x:c r="O518" s="17"/>
      <x:c r="P518" s="17"/>
      <x:c r="Q518" s="17" t="str">
        <x:f>IF(COUNT(L518:P518)&lt;5,"",ROUND((L518*25+M518*20+N518*20+O518*20+P518*15)/5,1))</x:f>
      </x:c>
      <x:c r="R518" s="18" t="str"/>
      <x:c r="S518" s="18" t="str"/>
      <x:c r="T518" s="17" t="str"/>
      <x:c r="U518" s="19"/>
    </x:row>
    <x:row r="519">
      <x:c r="A519" s="17" t="str">
        <x:v>MTS-0518</x:v>
      </x:c>
      <x:c r="B519" s="17" t="str">
        <x:v>Repository Permission Auditor</x:v>
      </x:c>
      <x:c r="C519" s="17" t="str">
        <x:v>Developer and Repository Security</x:v>
      </x:c>
      <x:c r="D519" s="17" t="str">
        <x:v>Desktop + SaaS</x:v>
      </x:c>
      <x:c r="E519" s="17" t="str">
        <x:v>Developers and software teams</x:v>
      </x:c>
      <x:c r="F519" s="18" t="str">
        <x:v>Repository Permission Auditor provides a focused developer and repository security workflow for developers and software teams.</x:v>
      </x:c>
      <x:c r="G519" s="18" t="str">
        <x:v>Repository Scan, Dependency Audit, Evidence, CI</x:v>
      </x:c>
      <x:c r="H519" s="17" t="str">
        <x:v>Subscription</x:v>
      </x:c>
      <x:c r="I519" s="17" t="str">
        <x:v>Large</x:v>
      </x:c>
      <x:c r="J519" s="17" t="str">
        <x:v>New candidate</x:v>
      </x:c>
      <x:c r="K519" s="17" t="str">
        <x:v>Unreviewed</x:v>
      </x:c>
      <x:c r="L519" s="17"/>
      <x:c r="M519" s="17"/>
      <x:c r="N519" s="17"/>
      <x:c r="O519" s="17"/>
      <x:c r="P519" s="17"/>
      <x:c r="Q519" s="17" t="str">
        <x:f>IF(COUNT(L519:P519)&lt;5,"",ROUND((L519*25+M519*20+N519*20+O519*20+P519*15)/5,1))</x:f>
      </x:c>
      <x:c r="R519" s="18" t="str"/>
      <x:c r="S519" s="18" t="str"/>
      <x:c r="T519" s="17" t="str"/>
      <x:c r="U519" s="19"/>
    </x:row>
    <x:row r="520">
      <x:c r="A520" s="17" t="str">
        <x:v>MTS-0519</x:v>
      </x:c>
      <x:c r="B520" s="17" t="str">
        <x:v>Dependency Update Planner</x:v>
      </x:c>
      <x:c r="C520" s="17" t="str">
        <x:v>Developer and Repository Security</x:v>
      </x:c>
      <x:c r="D520" s="17" t="str">
        <x:v>Desktop + SaaS</x:v>
      </x:c>
      <x:c r="E520" s="17" t="str">
        <x:v>Developers and software teams</x:v>
      </x:c>
      <x:c r="F520" s="18" t="str">
        <x:v>Dependency Update Planner provides a focused developer and repository security workflow for developers and software teams.</x:v>
      </x:c>
      <x:c r="G520" s="18" t="str">
        <x:v>Repository Scan, Dependency Audit, Evidence, CI</x:v>
      </x:c>
      <x:c r="H520" s="17" t="str">
        <x:v>Subscription</x:v>
      </x:c>
      <x:c r="I520" s="17" t="str">
        <x:v>Large</x:v>
      </x:c>
      <x:c r="J520" s="17" t="str">
        <x:v>New candidate</x:v>
      </x:c>
      <x:c r="K520" s="17" t="str">
        <x:v>Unreviewed</x:v>
      </x:c>
      <x:c r="L520" s="17"/>
      <x:c r="M520" s="17"/>
      <x:c r="N520" s="17"/>
      <x:c r="O520" s="17"/>
      <x:c r="P520" s="17"/>
      <x:c r="Q520" s="17" t="str">
        <x:f>IF(COUNT(L520:P520)&lt;5,"",ROUND((L520*25+M520*20+N520*20+O520*20+P520*15)/5,1))</x:f>
      </x:c>
      <x:c r="R520" s="18" t="str"/>
      <x:c r="S520" s="18" t="str"/>
      <x:c r="T520" s="17" t="str"/>
      <x:c r="U520" s="19"/>
    </x:row>
    <x:row r="521">
      <x:c r="A521" s="17" t="str">
        <x:v>MTS-0520</x:v>
      </x:c>
      <x:c r="B521" s="17" t="str">
        <x:v>Vulnerability Triage Board</x:v>
      </x:c>
      <x:c r="C521" s="17" t="str">
        <x:v>Developer and Repository Security</x:v>
      </x:c>
      <x:c r="D521" s="17" t="str">
        <x:v>Desktop + SaaS</x:v>
      </x:c>
      <x:c r="E521" s="17" t="str">
        <x:v>Developers and software teams</x:v>
      </x:c>
      <x:c r="F521" s="18" t="str">
        <x:v>Vulnerability Triage Board provides a focused developer and repository security workflow for developers and software teams.</x:v>
      </x:c>
      <x:c r="G521" s="18" t="str">
        <x:v>Repository Scan, Dependency Audit, Evidence, CI</x:v>
      </x:c>
      <x:c r="H521" s="17" t="str">
        <x:v>Subscription</x:v>
      </x:c>
      <x:c r="I521" s="17" t="str">
        <x:v>Large</x:v>
      </x:c>
      <x:c r="J521" s="17" t="str">
        <x:v>New candidate</x:v>
      </x:c>
      <x:c r="K521" s="17" t="str">
        <x:v>Unreviewed</x:v>
      </x:c>
      <x:c r="L521" s="17"/>
      <x:c r="M521" s="17"/>
      <x:c r="N521" s="17"/>
      <x:c r="O521" s="17"/>
      <x:c r="P521" s="17"/>
      <x:c r="Q521" s="17" t="str">
        <x:f>IF(COUNT(L521:P521)&lt;5,"",ROUND((L521*25+M521*20+N521*20+O521*20+P521*15)/5,1))</x:f>
      </x:c>
      <x:c r="R521" s="18" t="str"/>
      <x:c r="S521" s="18" t="str"/>
      <x:c r="T521" s="17" t="str"/>
      <x:c r="U521" s="19"/>
    </x:row>
    <x:row r="522">
      <x:c r="A522" s="17" t="str">
        <x:v>MTS-0521</x:v>
      </x:c>
      <x:c r="B522" s="17" t="str">
        <x:v>License Risk Inventory</x:v>
      </x:c>
      <x:c r="C522" s="17" t="str">
        <x:v>Developer and Repository Security</x:v>
      </x:c>
      <x:c r="D522" s="17" t="str">
        <x:v>Desktop + SaaS</x:v>
      </x:c>
      <x:c r="E522" s="17" t="str">
        <x:v>Developers and software teams</x:v>
      </x:c>
      <x:c r="F522" s="18" t="str">
        <x:v>License Risk Inventory provides a focused developer and repository security workflow for developers and software teams.</x:v>
      </x:c>
      <x:c r="G522" s="18" t="str">
        <x:v>Repository Scan, Dependency Audit, Evidence, CI</x:v>
      </x:c>
      <x:c r="H522" s="17" t="str">
        <x:v>Subscription</x:v>
      </x:c>
      <x:c r="I522" s="17" t="str">
        <x:v>Large</x:v>
      </x:c>
      <x:c r="J522" s="17" t="str">
        <x:v>New candidate</x:v>
      </x:c>
      <x:c r="K522" s="17" t="str">
        <x:v>Unreviewed</x:v>
      </x:c>
      <x:c r="L522" s="17"/>
      <x:c r="M522" s="17"/>
      <x:c r="N522" s="17"/>
      <x:c r="O522" s="17"/>
      <x:c r="P522" s="17"/>
      <x:c r="Q522" s="17" t="str">
        <x:f>IF(COUNT(L522:P522)&lt;5,"",ROUND((L522*25+M522*20+N522*20+O522*20+P522*15)/5,1))</x:f>
      </x:c>
      <x:c r="R522" s="18" t="str"/>
      <x:c r="S522" s="18" t="str"/>
      <x:c r="T522" s="17" t="str"/>
      <x:c r="U522" s="19"/>
    </x:row>
    <x:row r="523">
      <x:c r="A523" s="17" t="str">
        <x:v>MTS-0522</x:v>
      </x:c>
      <x:c r="B523" s="17" t="str">
        <x:v>Security Release Checklist</x:v>
      </x:c>
      <x:c r="C523" s="17" t="str">
        <x:v>Developer and Repository Security</x:v>
      </x:c>
      <x:c r="D523" s="17" t="str">
        <x:v>Desktop + SaaS</x:v>
      </x:c>
      <x:c r="E523" s="17" t="str">
        <x:v>Developers and software teams</x:v>
      </x:c>
      <x:c r="F523" s="18" t="str">
        <x:v>Security Release Checklist provides a focused developer and repository security workflow for developers and software teams.</x:v>
      </x:c>
      <x:c r="G523" s="18" t="str">
        <x:v>Repository Scan, Dependency Audit, Evidence, CI</x:v>
      </x:c>
      <x:c r="H523" s="17" t="str">
        <x:v>Subscription</x:v>
      </x:c>
      <x:c r="I523" s="17" t="str">
        <x:v>Large</x:v>
      </x:c>
      <x:c r="J523" s="17" t="str">
        <x:v>New candidate</x:v>
      </x:c>
      <x:c r="K523" s="17" t="str">
        <x:v>Unreviewed</x:v>
      </x:c>
      <x:c r="L523" s="17"/>
      <x:c r="M523" s="17"/>
      <x:c r="N523" s="17"/>
      <x:c r="O523" s="17"/>
      <x:c r="P523" s="17"/>
      <x:c r="Q523" s="17" t="str">
        <x:f>IF(COUNT(L523:P523)&lt;5,"",ROUND((L523*25+M523*20+N523*20+O523*20+P523*15)/5,1))</x:f>
      </x:c>
      <x:c r="R523" s="18" t="str"/>
      <x:c r="S523" s="18" t="str"/>
      <x:c r="T523" s="17" t="str"/>
      <x:c r="U523" s="19"/>
    </x:row>
    <x:row r="524">
      <x:c r="A524" s="17" t="str">
        <x:v>MTS-0523</x:v>
      </x:c>
      <x:c r="B524" s="17" t="str">
        <x:v>Environment Variable Audit</x:v>
      </x:c>
      <x:c r="C524" s="17" t="str">
        <x:v>Developer and Repository Security</x:v>
      </x:c>
      <x:c r="D524" s="17" t="str">
        <x:v>Desktop + SaaS</x:v>
      </x:c>
      <x:c r="E524" s="17" t="str">
        <x:v>Developers and software teams</x:v>
      </x:c>
      <x:c r="F524" s="18" t="str">
        <x:v>Environment Variable Audit provides a focused developer and repository security workflow for developers and software teams.</x:v>
      </x:c>
      <x:c r="G524" s="18" t="str">
        <x:v>Repository Scan, Dependency Audit, Evidence, CI</x:v>
      </x:c>
      <x:c r="H524" s="17" t="str">
        <x:v>Subscription</x:v>
      </x:c>
      <x:c r="I524" s="17" t="str">
        <x:v>Large</x:v>
      </x:c>
      <x:c r="J524" s="17" t="str">
        <x:v>New candidate</x:v>
      </x:c>
      <x:c r="K524" s="17" t="str">
        <x:v>Unreviewed</x:v>
      </x:c>
      <x:c r="L524" s="17"/>
      <x:c r="M524" s="17"/>
      <x:c r="N524" s="17"/>
      <x:c r="O524" s="17"/>
      <x:c r="P524" s="17"/>
      <x:c r="Q524" s="17" t="str">
        <x:f>IF(COUNT(L524:P524)&lt;5,"",ROUND((L524*25+M524*20+N524*20+O524*20+P524*15)/5,1))</x:f>
      </x:c>
      <x:c r="R524" s="18" t="str"/>
      <x:c r="S524" s="18" t="str"/>
      <x:c r="T524" s="17" t="str"/>
      <x:c r="U524" s="19"/>
    </x:row>
    <x:row r="525">
      <x:c r="A525" s="17" t="str">
        <x:v>MTS-0524</x:v>
      </x:c>
      <x:c r="B525" s="17" t="str">
        <x:v>CI Permission Review</x:v>
      </x:c>
      <x:c r="C525" s="17" t="str">
        <x:v>Developer and Repository Security</x:v>
      </x:c>
      <x:c r="D525" s="17" t="str">
        <x:v>Desktop + SaaS</x:v>
      </x:c>
      <x:c r="E525" s="17" t="str">
        <x:v>Developers and software teams</x:v>
      </x:c>
      <x:c r="F525" s="18" t="str">
        <x:v>CI Permission Review provides a focused developer and repository security workflow for developers and software teams.</x:v>
      </x:c>
      <x:c r="G525" s="18" t="str">
        <x:v>Repository Scan, Dependency Audit, Evidence, CI</x:v>
      </x:c>
      <x:c r="H525" s="17" t="str">
        <x:v>Subscription</x:v>
      </x:c>
      <x:c r="I525" s="17" t="str">
        <x:v>Large</x:v>
      </x:c>
      <x:c r="J525" s="17" t="str">
        <x:v>New candidate</x:v>
      </x:c>
      <x:c r="K525" s="17" t="str">
        <x:v>Unreviewed</x:v>
      </x:c>
      <x:c r="L525" s="17"/>
      <x:c r="M525" s="17"/>
      <x:c r="N525" s="17"/>
      <x:c r="O525" s="17"/>
      <x:c r="P525" s="17"/>
      <x:c r="Q525" s="17" t="str">
        <x:f>IF(COUNT(L525:P525)&lt;5,"",ROUND((L525*25+M525*20+N525*20+O525*20+P525*15)/5,1))</x:f>
      </x:c>
      <x:c r="R525" s="18" t="str"/>
      <x:c r="S525" s="18" t="str"/>
      <x:c r="T525" s="17" t="str"/>
      <x:c r="U525" s="19"/>
    </x:row>
    <x:row r="526">
      <x:c r="A526" s="17" t="str">
        <x:v>MTS-0525</x:v>
      </x:c>
      <x:c r="B526" s="17" t="str">
        <x:v>Container Image Review Log</x:v>
      </x:c>
      <x:c r="C526" s="17" t="str">
        <x:v>Developer and Repository Security</x:v>
      </x:c>
      <x:c r="D526" s="17" t="str">
        <x:v>Desktop + SaaS</x:v>
      </x:c>
      <x:c r="E526" s="17" t="str">
        <x:v>Developers and software teams</x:v>
      </x:c>
      <x:c r="F526" s="18" t="str">
        <x:v>Container Image Review Log provides a focused developer and repository security workflow for developers and software teams.</x:v>
      </x:c>
      <x:c r="G526" s="18" t="str">
        <x:v>Repository Scan, Dependency Audit, Evidence, CI</x:v>
      </x:c>
      <x:c r="H526" s="17" t="str">
        <x:v>Subscription</x:v>
      </x:c>
      <x:c r="I526" s="17" t="str">
        <x:v>Large</x:v>
      </x:c>
      <x:c r="J526" s="17" t="str">
        <x:v>New candidate</x:v>
      </x:c>
      <x:c r="K526" s="17" t="str">
        <x:v>Unreviewed</x:v>
      </x:c>
      <x:c r="L526" s="17"/>
      <x:c r="M526" s="17"/>
      <x:c r="N526" s="17"/>
      <x:c r="O526" s="17"/>
      <x:c r="P526" s="17"/>
      <x:c r="Q526" s="17" t="str">
        <x:f>IF(COUNT(L526:P526)&lt;5,"",ROUND((L526*25+M526*20+N526*20+O526*20+P526*15)/5,1))</x:f>
      </x:c>
      <x:c r="R526" s="18" t="str"/>
      <x:c r="S526" s="18" t="str"/>
      <x:c r="T526" s="17" t="str"/>
      <x:c r="U526" s="19"/>
    </x:row>
    <x:row r="527">
      <x:c r="A527" s="17" t="str">
        <x:v>MTS-0526</x:v>
      </x:c>
      <x:c r="B527" s="17" t="str">
        <x:v>API Endpoint Inventory</x:v>
      </x:c>
      <x:c r="C527" s="17" t="str">
        <x:v>Developer and Repository Security</x:v>
      </x:c>
      <x:c r="D527" s="17" t="str">
        <x:v>Desktop + SaaS</x:v>
      </x:c>
      <x:c r="E527" s="17" t="str">
        <x:v>Developers and software teams</x:v>
      </x:c>
      <x:c r="F527" s="18" t="str">
        <x:v>API Endpoint Inventory provides a focused developer and repository security workflow for developers and software teams.</x:v>
      </x:c>
      <x:c r="G527" s="18" t="str">
        <x:v>Repository Scan, Dependency Audit, Evidence, CI</x:v>
      </x:c>
      <x:c r="H527" s="17" t="str">
        <x:v>Subscription</x:v>
      </x:c>
      <x:c r="I527" s="17" t="str">
        <x:v>Large</x:v>
      </x:c>
      <x:c r="J527" s="17" t="str">
        <x:v>New candidate</x:v>
      </x:c>
      <x:c r="K527" s="17" t="str">
        <x:v>Unreviewed</x:v>
      </x:c>
      <x:c r="L527" s="17"/>
      <x:c r="M527" s="17"/>
      <x:c r="N527" s="17"/>
      <x:c r="O527" s="17"/>
      <x:c r="P527" s="17"/>
      <x:c r="Q527" s="17" t="str">
        <x:f>IF(COUNT(L527:P527)&lt;5,"",ROUND((L527*25+M527*20+N527*20+O527*20+P527*15)/5,1))</x:f>
      </x:c>
      <x:c r="R527" s="18" t="str"/>
      <x:c r="S527" s="18" t="str"/>
      <x:c r="T527" s="17" t="str"/>
      <x:c r="U527" s="19"/>
    </x:row>
    <x:row r="528">
      <x:c r="A528" s="17" t="str">
        <x:v>MTS-0527</x:v>
      </x:c>
      <x:c r="B528" s="17" t="str">
        <x:v>Mobile App Privacy Manifest Audit</x:v>
      </x:c>
      <x:c r="C528" s="17" t="str">
        <x:v>Developer and Repository Security</x:v>
      </x:c>
      <x:c r="D528" s="17" t="str">
        <x:v>Desktop + SaaS</x:v>
      </x:c>
      <x:c r="E528" s="17" t="str">
        <x:v>Developers and software teams</x:v>
      </x:c>
      <x:c r="F528" s="18" t="str">
        <x:v>Mobile App Privacy Manifest Audit provides a focused developer and repository security workflow for developers and software teams.</x:v>
      </x:c>
      <x:c r="G528" s="18" t="str">
        <x:v>Repository Scan, Dependency Audit, Evidence, CI</x:v>
      </x:c>
      <x:c r="H528" s="17" t="str">
        <x:v>Subscription</x:v>
      </x:c>
      <x:c r="I528" s="17" t="str">
        <x:v>Large</x:v>
      </x:c>
      <x:c r="J528" s="17" t="str">
        <x:v>New candidate</x:v>
      </x:c>
      <x:c r="K528" s="17" t="str">
        <x:v>Unreviewed</x:v>
      </x:c>
      <x:c r="L528" s="17"/>
      <x:c r="M528" s="17"/>
      <x:c r="N528" s="17"/>
      <x:c r="O528" s="17"/>
      <x:c r="P528" s="17"/>
      <x:c r="Q528" s="17" t="str">
        <x:f>IF(COUNT(L528:P528)&lt;5,"",ROUND((L528*25+M528*20+N528*20+O528*20+P528*15)/5,1))</x:f>
      </x:c>
      <x:c r="R528" s="18" t="str"/>
      <x:c r="S528" s="18" t="str"/>
      <x:c r="T528" s="17" t="str"/>
      <x:c r="U528" s="19"/>
    </x:row>
    <x:row r="529">
      <x:c r="A529" s="17" t="str">
        <x:v>MTS-0528</x:v>
      </x:c>
      <x:c r="B529" s="17" t="str">
        <x:v>Secure Coding Evidence Pack</x:v>
      </x:c>
      <x:c r="C529" s="17" t="str">
        <x:v>Developer and Repository Security</x:v>
      </x:c>
      <x:c r="D529" s="17" t="str">
        <x:v>Desktop + SaaS</x:v>
      </x:c>
      <x:c r="E529" s="17" t="str">
        <x:v>Developers and software teams</x:v>
      </x:c>
      <x:c r="F529" s="18" t="str">
        <x:v>Secure Coding Evidence Pack provides a focused developer and repository security workflow for developers and software teams.</x:v>
      </x:c>
      <x:c r="G529" s="18" t="str">
        <x:v>Repository Scan, Dependency Audit, Evidence, CI</x:v>
      </x:c>
      <x:c r="H529" s="17" t="str">
        <x:v>Subscription</x:v>
      </x:c>
      <x:c r="I529" s="17" t="str">
        <x:v>Large</x:v>
      </x:c>
      <x:c r="J529" s="17" t="str">
        <x:v>New candidate</x:v>
      </x:c>
      <x:c r="K529" s="17" t="str">
        <x:v>Unreviewed</x:v>
      </x:c>
      <x:c r="L529" s="17"/>
      <x:c r="M529" s="17"/>
      <x:c r="N529" s="17"/>
      <x:c r="O529" s="17"/>
      <x:c r="P529" s="17"/>
      <x:c r="Q529" s="17" t="str">
        <x:f>IF(COUNT(L529:P529)&lt;5,"",ROUND((L529*25+M529*20+N529*20+O529*20+P529*15)/5,1))</x:f>
      </x:c>
      <x:c r="R529" s="18" t="str"/>
      <x:c r="S529" s="18" t="str"/>
      <x:c r="T529" s="17" t="str"/>
      <x:c r="U529" s="19"/>
    </x:row>
    <x:row r="530">
      <x:c r="A530" s="17" t="str">
        <x:v>MTS-0529</x:v>
      </x:c>
      <x:c r="B530" s="17" t="str">
        <x:v>Security Policy Tracker</x:v>
      </x:c>
      <x:c r="C530" s="17" t="str">
        <x:v>Security Compliance and Evidence</x:v>
      </x:c>
      <x:c r="D530" s="17" t="str">
        <x:v>Web SaaS</x:v>
      </x:c>
      <x:c r="E530" s="17" t="str">
        <x:v>Small regulated teams and consultants</x:v>
      </x:c>
      <x:c r="F530" s="18" t="str">
        <x:v>Security Policy Tracker provides a focused security compliance and evidence workflow for small regulated teams and consultants.</x:v>
      </x:c>
      <x:c r="G530" s="18" t="str">
        <x:v>Policies, Evidence, Risk, Audit Workflow</x:v>
      </x:c>
      <x:c r="H530" s="17" t="str">
        <x:v>Subscription</x:v>
      </x:c>
      <x:c r="I530" s="17" t="str">
        <x:v>Large</x:v>
      </x:c>
      <x:c r="J530" s="17" t="str">
        <x:v>New candidate</x:v>
      </x:c>
      <x:c r="K530" s="17" t="str">
        <x:v>Unreviewed</x:v>
      </x:c>
      <x:c r="L530" s="17"/>
      <x:c r="M530" s="17"/>
      <x:c r="N530" s="17"/>
      <x:c r="O530" s="17"/>
      <x:c r="P530" s="17"/>
      <x:c r="Q530" s="17" t="str">
        <x:f>IF(COUNT(L530:P530)&lt;5,"",ROUND((L530*25+M530*20+N530*20+O530*20+P530*15)/5,1))</x:f>
      </x:c>
      <x:c r="R530" s="18" t="str"/>
      <x:c r="S530" s="18" t="str"/>
      <x:c r="T530" s="17" t="str"/>
      <x:c r="U530" s="19"/>
    </x:row>
    <x:row r="531">
      <x:c r="A531" s="17" t="str">
        <x:v>MTS-0530</x:v>
      </x:c>
      <x:c r="B531" s="17" t="str">
        <x:v>Data Retention Schedule</x:v>
      </x:c>
      <x:c r="C531" s="17" t="str">
        <x:v>Security Compliance and Evidence</x:v>
      </x:c>
      <x:c r="D531" s="17" t="str">
        <x:v>Web SaaS</x:v>
      </x:c>
      <x:c r="E531" s="17" t="str">
        <x:v>Small regulated teams and consultants</x:v>
      </x:c>
      <x:c r="F531" s="18" t="str">
        <x:v>Data Retention Schedule provides a focused security compliance and evidence workflow for small regulated teams and consultants.</x:v>
      </x:c>
      <x:c r="G531" s="18" t="str">
        <x:v>Policies, Evidence, Risk, Audit Workflow</x:v>
      </x:c>
      <x:c r="H531" s="17" t="str">
        <x:v>Subscription</x:v>
      </x:c>
      <x:c r="I531" s="17" t="str">
        <x:v>Large</x:v>
      </x:c>
      <x:c r="J531" s="17" t="str">
        <x:v>New candidate</x:v>
      </x:c>
      <x:c r="K531" s="17" t="str">
        <x:v>Unreviewed</x:v>
      </x:c>
      <x:c r="L531" s="17"/>
      <x:c r="M531" s="17"/>
      <x:c r="N531" s="17"/>
      <x:c r="O531" s="17"/>
      <x:c r="P531" s="17"/>
      <x:c r="Q531" s="17" t="str">
        <x:f>IF(COUNT(L531:P531)&lt;5,"",ROUND((L531*25+M531*20+N531*20+O531*20+P531*15)/5,1))</x:f>
      </x:c>
      <x:c r="R531" s="18" t="str"/>
      <x:c r="S531" s="18" t="str"/>
      <x:c r="T531" s="17" t="str"/>
      <x:c r="U531" s="19"/>
    </x:row>
    <x:row r="532">
      <x:c r="A532" s="17" t="str">
        <x:v>MTS-0531</x:v>
      </x:c>
      <x:c r="B532" s="17" t="str">
        <x:v>Privacy Request Register</x:v>
      </x:c>
      <x:c r="C532" s="17" t="str">
        <x:v>Security Compliance and Evidence</x:v>
      </x:c>
      <x:c r="D532" s="17" t="str">
        <x:v>Web SaaS</x:v>
      </x:c>
      <x:c r="E532" s="17" t="str">
        <x:v>Small regulated teams and consultants</x:v>
      </x:c>
      <x:c r="F532" s="18" t="str">
        <x:v>Privacy Request Register provides a focused security compliance and evidence workflow for small regulated teams and consultants.</x:v>
      </x:c>
      <x:c r="G532" s="18" t="str">
        <x:v>Policies, Evidence, Risk, Audit Workflow</x:v>
      </x:c>
      <x:c r="H532" s="17" t="str">
        <x:v>Subscription</x:v>
      </x:c>
      <x:c r="I532" s="17" t="str">
        <x:v>Large</x:v>
      </x:c>
      <x:c r="J532" s="17" t="str">
        <x:v>New candidate</x:v>
      </x:c>
      <x:c r="K532" s="17" t="str">
        <x:v>Unreviewed</x:v>
      </x:c>
      <x:c r="L532" s="17"/>
      <x:c r="M532" s="17"/>
      <x:c r="N532" s="17"/>
      <x:c r="O532" s="17"/>
      <x:c r="P532" s="17"/>
      <x:c r="Q532" s="17" t="str">
        <x:f>IF(COUNT(L532:P532)&lt;5,"",ROUND((L532*25+M532*20+N532*20+O532*20+P532*15)/5,1))</x:f>
      </x:c>
      <x:c r="R532" s="18" t="str"/>
      <x:c r="S532" s="18" t="str"/>
      <x:c r="T532" s="17" t="str"/>
      <x:c r="U532" s="19"/>
    </x:row>
    <x:row r="533">
      <x:c r="A533" s="17" t="str">
        <x:v>MTS-0532</x:v>
      </x:c>
      <x:c r="B533" s="17" t="str">
        <x:v>Incident Notification Timer</x:v>
      </x:c>
      <x:c r="C533" s="17" t="str">
        <x:v>Security Compliance and Evidence</x:v>
      </x:c>
      <x:c r="D533" s="17" t="str">
        <x:v>Web SaaS</x:v>
      </x:c>
      <x:c r="E533" s="17" t="str">
        <x:v>Small regulated teams and consultants</x:v>
      </x:c>
      <x:c r="F533" s="18" t="str">
        <x:v>Incident Notification Timer provides a focused security compliance and evidence workflow for small regulated teams and consultants.</x:v>
      </x:c>
      <x:c r="G533" s="18" t="str">
        <x:v>Policies, Evidence, Risk, Audit Workflow</x:v>
      </x:c>
      <x:c r="H533" s="17" t="str">
        <x:v>Subscription</x:v>
      </x:c>
      <x:c r="I533" s="17" t="str">
        <x:v>Large</x:v>
      </x:c>
      <x:c r="J533" s="17" t="str">
        <x:v>New candidate</x:v>
      </x:c>
      <x:c r="K533" s="17" t="str">
        <x:v>Unreviewed</x:v>
      </x:c>
      <x:c r="L533" s="17"/>
      <x:c r="M533" s="17"/>
      <x:c r="N533" s="17"/>
      <x:c r="O533" s="17"/>
      <x:c r="P533" s="17"/>
      <x:c r="Q533" s="17" t="str">
        <x:f>IF(COUNT(L533:P533)&lt;5,"",ROUND((L533*25+M533*20+N533*20+O533*20+P533*15)/5,1))</x:f>
      </x:c>
      <x:c r="R533" s="18" t="str"/>
      <x:c r="S533" s="18" t="str"/>
      <x:c r="T533" s="17" t="str"/>
      <x:c r="U533" s="19"/>
    </x:row>
    <x:row r="534">
      <x:c r="A534" s="17" t="str">
        <x:v>MTS-0533</x:v>
      </x:c>
      <x:c r="B534" s="17" t="str">
        <x:v>Access Review Evidence Pack</x:v>
      </x:c>
      <x:c r="C534" s="17" t="str">
        <x:v>Security Compliance and Evidence</x:v>
      </x:c>
      <x:c r="D534" s="17" t="str">
        <x:v>Web SaaS</x:v>
      </x:c>
      <x:c r="E534" s="17" t="str">
        <x:v>Small regulated teams and consultants</x:v>
      </x:c>
      <x:c r="F534" s="18" t="str">
        <x:v>Access Review Evidence Pack provides a focused security compliance and evidence workflow for small regulated teams and consultants.</x:v>
      </x:c>
      <x:c r="G534" s="18" t="str">
        <x:v>Policies, Evidence, Risk, Audit Workflow</x:v>
      </x:c>
      <x:c r="H534" s="17" t="str">
        <x:v>Subscription</x:v>
      </x:c>
      <x:c r="I534" s="17" t="str">
        <x:v>Large</x:v>
      </x:c>
      <x:c r="J534" s="17" t="str">
        <x:v>New candidate</x:v>
      </x:c>
      <x:c r="K534" s="17" t="str">
        <x:v>Unreviewed</x:v>
      </x:c>
      <x:c r="L534" s="17"/>
      <x:c r="M534" s="17"/>
      <x:c r="N534" s="17"/>
      <x:c r="O534" s="17"/>
      <x:c r="P534" s="17"/>
      <x:c r="Q534" s="17" t="str">
        <x:f>IF(COUNT(L534:P534)&lt;5,"",ROUND((L534*25+M534*20+N534*20+O534*20+P534*15)/5,1))</x:f>
      </x:c>
      <x:c r="R534" s="18" t="str"/>
      <x:c r="S534" s="18" t="str"/>
      <x:c r="T534" s="17" t="str"/>
      <x:c r="U534" s="19"/>
    </x:row>
    <x:row r="535">
      <x:c r="A535" s="17" t="str">
        <x:v>MTS-0534</x:v>
      </x:c>
      <x:c r="B535" s="17" t="str">
        <x:v>Vendor Security Questionnaire</x:v>
      </x:c>
      <x:c r="C535" s="17" t="str">
        <x:v>Security Compliance and Evidence</x:v>
      </x:c>
      <x:c r="D535" s="17" t="str">
        <x:v>Web SaaS</x:v>
      </x:c>
      <x:c r="E535" s="17" t="str">
        <x:v>Small regulated teams and consultants</x:v>
      </x:c>
      <x:c r="F535" s="18" t="str">
        <x:v>Vendor Security Questionnaire provides a focused security compliance and evidence workflow for small regulated teams and consultants.</x:v>
      </x:c>
      <x:c r="G535" s="18" t="str">
        <x:v>Policies, Evidence, Risk, Audit Workflow</x:v>
      </x:c>
      <x:c r="H535" s="17" t="str">
        <x:v>Subscription</x:v>
      </x:c>
      <x:c r="I535" s="17" t="str">
        <x:v>Large</x:v>
      </x:c>
      <x:c r="J535" s="17" t="str">
        <x:v>New candidate</x:v>
      </x:c>
      <x:c r="K535" s="17" t="str">
        <x:v>Unreviewed</x:v>
      </x:c>
      <x:c r="L535" s="17"/>
      <x:c r="M535" s="17"/>
      <x:c r="N535" s="17"/>
      <x:c r="O535" s="17"/>
      <x:c r="P535" s="17"/>
      <x:c r="Q535" s="17" t="str">
        <x:f>IF(COUNT(L535:P535)&lt;5,"",ROUND((L535*25+M535*20+N535*20+O535*20+P535*15)/5,1))</x:f>
      </x:c>
      <x:c r="R535" s="18" t="str"/>
      <x:c r="S535" s="18" t="str"/>
      <x:c r="T535" s="17" t="str"/>
      <x:c r="U535" s="19"/>
    </x:row>
    <x:row r="536">
      <x:c r="A536" s="17" t="str">
        <x:v>MTS-0535</x:v>
      </x:c>
      <x:c r="B536" s="17" t="str">
        <x:v>Risk Acceptance Register</x:v>
      </x:c>
      <x:c r="C536" s="17" t="str">
        <x:v>Security Compliance and Evidence</x:v>
      </x:c>
      <x:c r="D536" s="17" t="str">
        <x:v>Web SaaS</x:v>
      </x:c>
      <x:c r="E536" s="17" t="str">
        <x:v>Small regulated teams and consultants</x:v>
      </x:c>
      <x:c r="F536" s="18" t="str">
        <x:v>Risk Acceptance Register provides a focused security compliance and evidence workflow for small regulated teams and consultants.</x:v>
      </x:c>
      <x:c r="G536" s="18" t="str">
        <x:v>Policies, Evidence, Risk, Audit Workflow</x:v>
      </x:c>
      <x:c r="H536" s="17" t="str">
        <x:v>Subscription</x:v>
      </x:c>
      <x:c r="I536" s="17" t="str">
        <x:v>Large</x:v>
      </x:c>
      <x:c r="J536" s="17" t="str">
        <x:v>New candidate</x:v>
      </x:c>
      <x:c r="K536" s="17" t="str">
        <x:v>Unreviewed</x:v>
      </x:c>
      <x:c r="L536" s="17"/>
      <x:c r="M536" s="17"/>
      <x:c r="N536" s="17"/>
      <x:c r="O536" s="17"/>
      <x:c r="P536" s="17"/>
      <x:c r="Q536" s="17" t="str">
        <x:f>IF(COUNT(L536:P536)&lt;5,"",ROUND((L536*25+M536*20+N536*20+O536*20+P536*15)/5,1))</x:f>
      </x:c>
      <x:c r="R536" s="18" t="str"/>
      <x:c r="S536" s="18" t="str"/>
      <x:c r="T536" s="17" t="str"/>
      <x:c r="U536" s="19"/>
    </x:row>
    <x:row r="537">
      <x:c r="A537" s="17" t="str">
        <x:v>MTS-0536</x:v>
      </x:c>
      <x:c r="B537" s="17" t="str">
        <x:v>Security Control Evidence Vault</x:v>
      </x:c>
      <x:c r="C537" s="17" t="str">
        <x:v>Security Compliance and Evidence</x:v>
      </x:c>
      <x:c r="D537" s="17" t="str">
        <x:v>Web SaaS</x:v>
      </x:c>
      <x:c r="E537" s="17" t="str">
        <x:v>Small regulated teams and consultants</x:v>
      </x:c>
      <x:c r="F537" s="18" t="str">
        <x:v>Security Control Evidence Vault provides a focused security compliance and evidence workflow for small regulated teams and consultants.</x:v>
      </x:c>
      <x:c r="G537" s="18" t="str">
        <x:v>Policies, Evidence, Risk, Audit Workflow</x:v>
      </x:c>
      <x:c r="H537" s="17" t="str">
        <x:v>Subscription</x:v>
      </x:c>
      <x:c r="I537" s="17" t="str">
        <x:v>Large</x:v>
      </x:c>
      <x:c r="J537" s="17" t="str">
        <x:v>New candidate</x:v>
      </x:c>
      <x:c r="K537" s="17" t="str">
        <x:v>Unreviewed</x:v>
      </x:c>
      <x:c r="L537" s="17"/>
      <x:c r="M537" s="17"/>
      <x:c r="N537" s="17"/>
      <x:c r="O537" s="17"/>
      <x:c r="P537" s="17"/>
      <x:c r="Q537" s="17" t="str">
        <x:f>IF(COUNT(L537:P537)&lt;5,"",ROUND((L537*25+M537*20+N537*20+O537*20+P537*15)/5,1))</x:f>
      </x:c>
      <x:c r="R537" s="18" t="str"/>
      <x:c r="S537" s="18" t="str"/>
      <x:c r="T537" s="17" t="str"/>
      <x:c r="U537" s="19"/>
    </x:row>
    <x:row r="538">
      <x:c r="A538" s="17" t="str">
        <x:v>MTS-0537</x:v>
      </x:c>
      <x:c r="B538" s="17" t="str">
        <x:v>Employee Policy Acknowledgment</x:v>
      </x:c>
      <x:c r="C538" s="17" t="str">
        <x:v>Security Compliance and Evidence</x:v>
      </x:c>
      <x:c r="D538" s="17" t="str">
        <x:v>Web SaaS</x:v>
      </x:c>
      <x:c r="E538" s="17" t="str">
        <x:v>Small regulated teams and consultants</x:v>
      </x:c>
      <x:c r="F538" s="18" t="str">
        <x:v>Employee Policy Acknowledgment provides a focused security compliance and evidence workflow for small regulated teams and consultants.</x:v>
      </x:c>
      <x:c r="G538" s="18" t="str">
        <x:v>Policies, Evidence, Risk, Audit Workflow</x:v>
      </x:c>
      <x:c r="H538" s="17" t="str">
        <x:v>Subscription</x:v>
      </x:c>
      <x:c r="I538" s="17" t="str">
        <x:v>Large</x:v>
      </x:c>
      <x:c r="J538" s="17" t="str">
        <x:v>New candidate</x:v>
      </x:c>
      <x:c r="K538" s="17" t="str">
        <x:v>Unreviewed</x:v>
      </x:c>
      <x:c r="L538" s="17"/>
      <x:c r="M538" s="17"/>
      <x:c r="N538" s="17"/>
      <x:c r="O538" s="17"/>
      <x:c r="P538" s="17"/>
      <x:c r="Q538" s="17" t="str">
        <x:f>IF(COUNT(L538:P538)&lt;5,"",ROUND((L538*25+M538*20+N538*20+O538*20+P538*15)/5,1))</x:f>
      </x:c>
      <x:c r="R538" s="18" t="str"/>
      <x:c r="S538" s="18" t="str"/>
      <x:c r="T538" s="17" t="str"/>
      <x:c r="U538" s="19"/>
    </x:row>
    <x:row r="539">
      <x:c r="A539" s="17" t="str">
        <x:v>MTS-0538</x:v>
      </x:c>
      <x:c r="B539" s="17" t="str">
        <x:v>Data Processing Inventory</x:v>
      </x:c>
      <x:c r="C539" s="17" t="str">
        <x:v>Security Compliance and Evidence</x:v>
      </x:c>
      <x:c r="D539" s="17" t="str">
        <x:v>Web SaaS</x:v>
      </x:c>
      <x:c r="E539" s="17" t="str">
        <x:v>Small regulated teams and consultants</x:v>
      </x:c>
      <x:c r="F539" s="18" t="str">
        <x:v>Data Processing Inventory provides a focused security compliance and evidence workflow for small regulated teams and consultants.</x:v>
      </x:c>
      <x:c r="G539" s="18" t="str">
        <x:v>Policies, Evidence, Risk, Audit Workflow</x:v>
      </x:c>
      <x:c r="H539" s="17" t="str">
        <x:v>Subscription</x:v>
      </x:c>
      <x:c r="I539" s="17" t="str">
        <x:v>Large</x:v>
      </x:c>
      <x:c r="J539" s="17" t="str">
        <x:v>New candidate</x:v>
      </x:c>
      <x:c r="K539" s="17" t="str">
        <x:v>Unreviewed</x:v>
      </x:c>
      <x:c r="L539" s="17"/>
      <x:c r="M539" s="17"/>
      <x:c r="N539" s="17"/>
      <x:c r="O539" s="17"/>
      <x:c r="P539" s="17"/>
      <x:c r="Q539" s="17" t="str">
        <x:f>IF(COUNT(L539:P539)&lt;5,"",ROUND((L539*25+M539*20+N539*20+O539*20+P539*15)/5,1))</x:f>
      </x:c>
      <x:c r="R539" s="18" t="str"/>
      <x:c r="S539" s="18" t="str"/>
      <x:c r="T539" s="17" t="str"/>
      <x:c r="U539" s="19"/>
    </x:row>
    <x:row r="540">
      <x:c r="A540" s="17" t="str">
        <x:v>MTS-0539</x:v>
      </x:c>
      <x:c r="B540" s="17" t="str">
        <x:v>Audit Finding Remediation</x:v>
      </x:c>
      <x:c r="C540" s="17" t="str">
        <x:v>Security Compliance and Evidence</x:v>
      </x:c>
      <x:c r="D540" s="17" t="str">
        <x:v>Web SaaS</x:v>
      </x:c>
      <x:c r="E540" s="17" t="str">
        <x:v>Small regulated teams and consultants</x:v>
      </x:c>
      <x:c r="F540" s="18" t="str">
        <x:v>Audit Finding Remediation provides a focused security compliance and evidence workflow for small regulated teams and consultants.</x:v>
      </x:c>
      <x:c r="G540" s="18" t="str">
        <x:v>Policies, Evidence, Risk, Audit Workflow</x:v>
      </x:c>
      <x:c r="H540" s="17" t="str">
        <x:v>Subscription</x:v>
      </x:c>
      <x:c r="I540" s="17" t="str">
        <x:v>Large</x:v>
      </x:c>
      <x:c r="J540" s="17" t="str">
        <x:v>New candidate</x:v>
      </x:c>
      <x:c r="K540" s="17" t="str">
        <x:v>Unreviewed</x:v>
      </x:c>
      <x:c r="L540" s="17"/>
      <x:c r="M540" s="17"/>
      <x:c r="N540" s="17"/>
      <x:c r="O540" s="17"/>
      <x:c r="P540" s="17"/>
      <x:c r="Q540" s="17" t="str">
        <x:f>IF(COUNT(L540:P540)&lt;5,"",ROUND((L540*25+M540*20+N540*20+O540*20+P540*15)/5,1))</x:f>
      </x:c>
      <x:c r="R540" s="18" t="str"/>
      <x:c r="S540" s="18" t="str"/>
      <x:c r="T540" s="17" t="str"/>
      <x:c r="U540" s="19"/>
    </x:row>
    <x:row r="541">
      <x:c r="A541" s="17" t="str">
        <x:v>MTS-0540</x:v>
      </x:c>
      <x:c r="B541" s="17" t="str">
        <x:v>Privacy Notice Change Log</x:v>
      </x:c>
      <x:c r="C541" s="17" t="str">
        <x:v>Security Compliance and Evidence</x:v>
      </x:c>
      <x:c r="D541" s="17" t="str">
        <x:v>Web SaaS</x:v>
      </x:c>
      <x:c r="E541" s="17" t="str">
        <x:v>Small regulated teams and consultants</x:v>
      </x:c>
      <x:c r="F541" s="18" t="str">
        <x:v>Privacy Notice Change Log provides a focused security compliance and evidence workflow for small regulated teams and consultants.</x:v>
      </x:c>
      <x:c r="G541" s="18" t="str">
        <x:v>Policies, Evidence, Risk, Audit Workflow</x:v>
      </x:c>
      <x:c r="H541" s="17" t="str">
        <x:v>Subscription</x:v>
      </x:c>
      <x:c r="I541" s="17" t="str">
        <x:v>Large</x:v>
      </x:c>
      <x:c r="J541" s="17" t="str">
        <x:v>New candidate</x:v>
      </x:c>
      <x:c r="K541" s="17" t="str">
        <x:v>Unreviewed</x:v>
      </x:c>
      <x:c r="L541" s="17"/>
      <x:c r="M541" s="17"/>
      <x:c r="N541" s="17"/>
      <x:c r="O541" s="17"/>
      <x:c r="P541" s="17"/>
      <x:c r="Q541" s="17" t="str">
        <x:f>IF(COUNT(L541:P541)&lt;5,"",ROUND((L541*25+M541*20+N541*20+O541*20+P541*15)/5,1))</x:f>
      </x:c>
      <x:c r="R541" s="18" t="str"/>
      <x:c r="S541" s="18" t="str"/>
      <x:c r="T541" s="17" t="str"/>
      <x:c r="U541" s="19"/>
    </x:row>
    <x:row r="542">
      <x:c r="A542" s="17" t="str">
        <x:v>MTS-0541</x:v>
      </x:c>
      <x:c r="B542" s="17" t="str">
        <x:v>Phishing Awareness Trainer</x:v>
      </x:c>
      <x:c r="C542" s="17" t="str">
        <x:v>Security Education and Simulation</x:v>
      </x:c>
      <x:c r="D542" s="17" t="str">
        <x:v>Mobile + Web</x:v>
      </x:c>
      <x:c r="E542" s="17" t="str">
        <x:v>Families, employees, and educators</x:v>
      </x:c>
      <x:c r="F542" s="18" t="str">
        <x:v>Phishing Awareness Trainer provides a focused security education and simulation workflow for families, employees, and educators.</x:v>
      </x:c>
      <x:c r="G542" s="18" t="str">
        <x:v>Lessons, Simulations, Assessments, Progress</x:v>
      </x:c>
      <x:c r="H542" s="17" t="str">
        <x:v>Subscription + Content</x:v>
      </x:c>
      <x:c r="I542" s="17" t="str">
        <x:v>Medium</x:v>
      </x:c>
      <x:c r="J542" s="17" t="str">
        <x:v>New candidate</x:v>
      </x:c>
      <x:c r="K542" s="17" t="str">
        <x:v>Unreviewed</x:v>
      </x:c>
      <x:c r="L542" s="17"/>
      <x:c r="M542" s="17"/>
      <x:c r="N542" s="17"/>
      <x:c r="O542" s="17"/>
      <x:c r="P542" s="17"/>
      <x:c r="Q542" s="17" t="str">
        <x:f>IF(COUNT(L542:P542)&lt;5,"",ROUND((L542*25+M542*20+N542*20+O542*20+P542*15)/5,1))</x:f>
      </x:c>
      <x:c r="R542" s="18" t="str"/>
      <x:c r="S542" s="18" t="str"/>
      <x:c r="T542" s="17" t="str"/>
      <x:c r="U542" s="19"/>
    </x:row>
    <x:row r="543">
      <x:c r="A543" s="17" t="str">
        <x:v>MTS-0542</x:v>
      </x:c>
      <x:c r="B543" s="17" t="str">
        <x:v>Scam Scenario Quiz</x:v>
      </x:c>
      <x:c r="C543" s="17" t="str">
        <x:v>Security Education and Simulation</x:v>
      </x:c>
      <x:c r="D543" s="17" t="str">
        <x:v>Mobile + Web</x:v>
      </x:c>
      <x:c r="E543" s="17" t="str">
        <x:v>Families, employees, and educators</x:v>
      </x:c>
      <x:c r="F543" s="18" t="str">
        <x:v>Scam Scenario Quiz provides a focused security education and simulation workflow for families, employees, and educators.</x:v>
      </x:c>
      <x:c r="G543" s="18" t="str">
        <x:v>Lessons, Simulations, Assessments, Progress</x:v>
      </x:c>
      <x:c r="H543" s="17" t="str">
        <x:v>Subscription + Content</x:v>
      </x:c>
      <x:c r="I543" s="17" t="str">
        <x:v>Medium</x:v>
      </x:c>
      <x:c r="J543" s="17" t="str">
        <x:v>New candidate</x:v>
      </x:c>
      <x:c r="K543" s="17" t="str">
        <x:v>Unreviewed</x:v>
      </x:c>
      <x:c r="L543" s="17"/>
      <x:c r="M543" s="17"/>
      <x:c r="N543" s="17"/>
      <x:c r="O543" s="17"/>
      <x:c r="P543" s="17"/>
      <x:c r="Q543" s="17" t="str">
        <x:f>IF(COUNT(L543:P543)&lt;5,"",ROUND((L543*25+M543*20+N543*20+O543*20+P543*15)/5,1))</x:f>
      </x:c>
      <x:c r="R543" s="18" t="str"/>
      <x:c r="S543" s="18" t="str"/>
      <x:c r="T543" s="17" t="str"/>
      <x:c r="U543" s="19"/>
    </x:row>
    <x:row r="544">
      <x:c r="A544" s="17" t="str">
        <x:v>MTS-0543</x:v>
      </x:c>
      <x:c r="B544" s="17" t="str">
        <x:v>Password Hygiene Microcourse</x:v>
      </x:c>
      <x:c r="C544" s="17" t="str">
        <x:v>Security Education and Simulation</x:v>
      </x:c>
      <x:c r="D544" s="17" t="str">
        <x:v>Mobile + Web</x:v>
      </x:c>
      <x:c r="E544" s="17" t="str">
        <x:v>Families, employees, and educators</x:v>
      </x:c>
      <x:c r="F544" s="18" t="str">
        <x:v>Password Hygiene Microcourse provides a focused security education and simulation workflow for families, employees, and educators.</x:v>
      </x:c>
      <x:c r="G544" s="18" t="str">
        <x:v>Lessons, Simulations, Assessments, Progress</x:v>
      </x:c>
      <x:c r="H544" s="17" t="str">
        <x:v>Subscription + Content</x:v>
      </x:c>
      <x:c r="I544" s="17" t="str">
        <x:v>Medium</x:v>
      </x:c>
      <x:c r="J544" s="17" t="str">
        <x:v>New candidate</x:v>
      </x:c>
      <x:c r="K544" s="17" t="str">
        <x:v>Unreviewed</x:v>
      </x:c>
      <x:c r="L544" s="17"/>
      <x:c r="M544" s="17"/>
      <x:c r="N544" s="17"/>
      <x:c r="O544" s="17"/>
      <x:c r="P544" s="17"/>
      <x:c r="Q544" s="17" t="str">
        <x:f>IF(COUNT(L544:P544)&lt;5,"",ROUND((L544*25+M544*20+N544*20+O544*20+P544*15)/5,1))</x:f>
      </x:c>
      <x:c r="R544" s="18" t="str"/>
      <x:c r="S544" s="18" t="str"/>
      <x:c r="T544" s="17" t="str"/>
      <x:c r="U544" s="19"/>
    </x:row>
    <x:row r="545">
      <x:c r="A545" s="17" t="str">
        <x:v>MTS-0544</x:v>
      </x:c>
      <x:c r="B545" s="17" t="str">
        <x:v>Secure Remote Work Trainer</x:v>
      </x:c>
      <x:c r="C545" s="17" t="str">
        <x:v>Security Education and Simulation</x:v>
      </x:c>
      <x:c r="D545" s="17" t="str">
        <x:v>Mobile + Web</x:v>
      </x:c>
      <x:c r="E545" s="17" t="str">
        <x:v>Families, employees, and educators</x:v>
      </x:c>
      <x:c r="F545" s="18" t="str">
        <x:v>Secure Remote Work Trainer provides a focused security education and simulation workflow for families, employees, and educators.</x:v>
      </x:c>
      <x:c r="G545" s="18" t="str">
        <x:v>Lessons, Simulations, Assessments, Progress</x:v>
      </x:c>
      <x:c r="H545" s="17" t="str">
        <x:v>Subscription + Content</x:v>
      </x:c>
      <x:c r="I545" s="17" t="str">
        <x:v>Medium</x:v>
      </x:c>
      <x:c r="J545" s="17" t="str">
        <x:v>New candidate</x:v>
      </x:c>
      <x:c r="K545" s="17" t="str">
        <x:v>Unreviewed</x:v>
      </x:c>
      <x:c r="L545" s="17"/>
      <x:c r="M545" s="17"/>
      <x:c r="N545" s="17"/>
      <x:c r="O545" s="17"/>
      <x:c r="P545" s="17"/>
      <x:c r="Q545" s="17" t="str">
        <x:f>IF(COUNT(L545:P545)&lt;5,"",ROUND((L545*25+M545*20+N545*20+O545*20+P545*15)/5,1))</x:f>
      </x:c>
      <x:c r="R545" s="18" t="str"/>
      <x:c r="S545" s="18" t="str"/>
      <x:c r="T545" s="17" t="str"/>
      <x:c r="U545" s="19"/>
    </x:row>
    <x:row r="546">
      <x:c r="A546" s="17" t="str">
        <x:v>MTS-0545</x:v>
      </x:c>
      <x:c r="B546" s="17" t="str">
        <x:v>Privacy Settings Walkthrough</x:v>
      </x:c>
      <x:c r="C546" s="17" t="str">
        <x:v>Security Education and Simulation</x:v>
      </x:c>
      <x:c r="D546" s="17" t="str">
        <x:v>Mobile + Web</x:v>
      </x:c>
      <x:c r="E546" s="17" t="str">
        <x:v>Families, employees, and educators</x:v>
      </x:c>
      <x:c r="F546" s="18" t="str">
        <x:v>Privacy Settings Walkthrough provides a focused security education and simulation workflow for families, employees, and educators.</x:v>
      </x:c>
      <x:c r="G546" s="18" t="str">
        <x:v>Lessons, Simulations, Assessments, Progress</x:v>
      </x:c>
      <x:c r="H546" s="17" t="str">
        <x:v>Subscription + Content</x:v>
      </x:c>
      <x:c r="I546" s="17" t="str">
        <x:v>Medium</x:v>
      </x:c>
      <x:c r="J546" s="17" t="str">
        <x:v>New candidate</x:v>
      </x:c>
      <x:c r="K546" s="17" t="str">
        <x:v>Unreviewed</x:v>
      </x:c>
      <x:c r="L546" s="17"/>
      <x:c r="M546" s="17"/>
      <x:c r="N546" s="17"/>
      <x:c r="O546" s="17"/>
      <x:c r="P546" s="17"/>
      <x:c r="Q546" s="17" t="str">
        <x:f>IF(COUNT(L546:P546)&lt;5,"",ROUND((L546*25+M546*20+N546*20+O546*20+P546*15)/5,1))</x:f>
      </x:c>
      <x:c r="R546" s="18" t="str"/>
      <x:c r="S546" s="18" t="str"/>
      <x:c r="T546" s="17" t="str"/>
      <x:c r="U546" s="19"/>
    </x:row>
    <x:row r="547">
      <x:c r="A547" s="17" t="str">
        <x:v>MTS-0546</x:v>
      </x:c>
      <x:c r="B547" s="17" t="str">
        <x:v>Family Cyber Drill</x:v>
      </x:c>
      <x:c r="C547" s="17" t="str">
        <x:v>Security Education and Simulation</x:v>
      </x:c>
      <x:c r="D547" s="17" t="str">
        <x:v>Mobile + Web</x:v>
      </x:c>
      <x:c r="E547" s="17" t="str">
        <x:v>Families, employees, and educators</x:v>
      </x:c>
      <x:c r="F547" s="18" t="str">
        <x:v>Family Cyber Drill provides a focused security education and simulation workflow for families, employees, and educators.</x:v>
      </x:c>
      <x:c r="G547" s="18" t="str">
        <x:v>Lessons, Simulations, Assessments, Progress</x:v>
      </x:c>
      <x:c r="H547" s="17" t="str">
        <x:v>Subscription + Content</x:v>
      </x:c>
      <x:c r="I547" s="17" t="str">
        <x:v>Medium</x:v>
      </x:c>
      <x:c r="J547" s="17" t="str">
        <x:v>New candidate</x:v>
      </x:c>
      <x:c r="K547" s="17" t="str">
        <x:v>Unreviewed</x:v>
      </x:c>
      <x:c r="L547" s="17"/>
      <x:c r="M547" s="17"/>
      <x:c r="N547" s="17"/>
      <x:c r="O547" s="17"/>
      <x:c r="P547" s="17"/>
      <x:c r="Q547" s="17" t="str">
        <x:f>IF(COUNT(L547:P547)&lt;5,"",ROUND((L547*25+M547*20+N547*20+O547*20+P547*15)/5,1))</x:f>
      </x:c>
      <x:c r="R547" s="18" t="str"/>
      <x:c r="S547" s="18" t="str"/>
      <x:c r="T547" s="17" t="str"/>
      <x:c r="U547" s="19"/>
    </x:row>
    <x:row r="548">
      <x:c r="A548" s="17" t="str">
        <x:v>MTS-0547</x:v>
      </x:c>
      <x:c r="B548" s="17" t="str">
        <x:v>Small Business Incident Tabletop</x:v>
      </x:c>
      <x:c r="C548" s="17" t="str">
        <x:v>Security Education and Simulation</x:v>
      </x:c>
      <x:c r="D548" s="17" t="str">
        <x:v>Mobile + Web</x:v>
      </x:c>
      <x:c r="E548" s="17" t="str">
        <x:v>Families, employees, and educators</x:v>
      </x:c>
      <x:c r="F548" s="18" t="str">
        <x:v>Small Business Incident Tabletop provides a focused security education and simulation workflow for families, employees, and educators.</x:v>
      </x:c>
      <x:c r="G548" s="18" t="str">
        <x:v>Lessons, Simulations, Assessments, Progress</x:v>
      </x:c>
      <x:c r="H548" s="17" t="str">
        <x:v>Subscription + Content</x:v>
      </x:c>
      <x:c r="I548" s="17" t="str">
        <x:v>Medium</x:v>
      </x:c>
      <x:c r="J548" s="17" t="str">
        <x:v>New candidate</x:v>
      </x:c>
      <x:c r="K548" s="17" t="str">
        <x:v>Unreviewed</x:v>
      </x:c>
      <x:c r="L548" s="17"/>
      <x:c r="M548" s="17"/>
      <x:c r="N548" s="17"/>
      <x:c r="O548" s="17"/>
      <x:c r="P548" s="17"/>
      <x:c r="Q548" s="17" t="str">
        <x:f>IF(COUNT(L548:P548)&lt;5,"",ROUND((L548*25+M548*20+N548*20+O548*20+P548*15)/5,1))</x:f>
      </x:c>
      <x:c r="R548" s="18" t="str"/>
      <x:c r="S548" s="18" t="str"/>
      <x:c r="T548" s="17" t="str"/>
      <x:c r="U548" s="19"/>
    </x:row>
    <x:row r="549">
      <x:c r="A549" s="17" t="str">
        <x:v>MTS-0548</x:v>
      </x:c>
      <x:c r="B549" s="17" t="str">
        <x:v>Backup Restore Practice</x:v>
      </x:c>
      <x:c r="C549" s="17" t="str">
        <x:v>Security Education and Simulation</x:v>
      </x:c>
      <x:c r="D549" s="17" t="str">
        <x:v>Mobile + Web</x:v>
      </x:c>
      <x:c r="E549" s="17" t="str">
        <x:v>Families, employees, and educators</x:v>
      </x:c>
      <x:c r="F549" s="18" t="str">
        <x:v>Backup Restore Practice provides a focused security education and simulation workflow for families, employees, and educators.</x:v>
      </x:c>
      <x:c r="G549" s="18" t="str">
        <x:v>Lessons, Simulations, Assessments, Progress</x:v>
      </x:c>
      <x:c r="H549" s="17" t="str">
        <x:v>Subscription + Content</x:v>
      </x:c>
      <x:c r="I549" s="17" t="str">
        <x:v>Medium</x:v>
      </x:c>
      <x:c r="J549" s="17" t="str">
        <x:v>New candidate</x:v>
      </x:c>
      <x:c r="K549" s="17" t="str">
        <x:v>Unreviewed</x:v>
      </x:c>
      <x:c r="L549" s="17"/>
      <x:c r="M549" s="17"/>
      <x:c r="N549" s="17"/>
      <x:c r="O549" s="17"/>
      <x:c r="P549" s="17"/>
      <x:c r="Q549" s="17" t="str">
        <x:f>IF(COUNT(L549:P549)&lt;5,"",ROUND((L549*25+M549*20+N549*20+O549*20+P549*15)/5,1))</x:f>
      </x:c>
      <x:c r="R549" s="18" t="str"/>
      <x:c r="S549" s="18" t="str"/>
      <x:c r="T549" s="17" t="str"/>
      <x:c r="U549" s="19"/>
    </x:row>
    <x:row r="550">
      <x:c r="A550" s="17" t="str">
        <x:v>MTS-0549</x:v>
      </x:c>
      <x:c r="B550" s="17" t="str">
        <x:v>Social Engineering Roleplay</x:v>
      </x:c>
      <x:c r="C550" s="17" t="str">
        <x:v>Security Education and Simulation</x:v>
      </x:c>
      <x:c r="D550" s="17" t="str">
        <x:v>Mobile + Web</x:v>
      </x:c>
      <x:c r="E550" s="17" t="str">
        <x:v>Families, employees, and educators</x:v>
      </x:c>
      <x:c r="F550" s="18" t="str">
        <x:v>Social Engineering Roleplay provides a focused security education and simulation workflow for families, employees, and educators.</x:v>
      </x:c>
      <x:c r="G550" s="18" t="str">
        <x:v>Lessons, Simulations, Assessments, Progress</x:v>
      </x:c>
      <x:c r="H550" s="17" t="str">
        <x:v>Subscription + Content</x:v>
      </x:c>
      <x:c r="I550" s="17" t="str">
        <x:v>Medium</x:v>
      </x:c>
      <x:c r="J550" s="17" t="str">
        <x:v>New candidate</x:v>
      </x:c>
      <x:c r="K550" s="17" t="str">
        <x:v>Unreviewed</x:v>
      </x:c>
      <x:c r="L550" s="17"/>
      <x:c r="M550" s="17"/>
      <x:c r="N550" s="17"/>
      <x:c r="O550" s="17"/>
      <x:c r="P550" s="17"/>
      <x:c r="Q550" s="17" t="str">
        <x:f>IF(COUNT(L550:P550)&lt;5,"",ROUND((L550*25+M550*20+N550*20+O550*20+P550*15)/5,1))</x:f>
      </x:c>
      <x:c r="R550" s="18" t="str"/>
      <x:c r="S550" s="18" t="str"/>
      <x:c r="T550" s="17" t="str"/>
      <x:c r="U550" s="19"/>
    </x:row>
    <x:row r="551">
      <x:c r="A551" s="17" t="str">
        <x:v>MTS-0550</x:v>
      </x:c>
      <x:c r="B551" s="17" t="str">
        <x:v>QR Safety Practice</x:v>
      </x:c>
      <x:c r="C551" s="17" t="str">
        <x:v>Security Education and Simulation</x:v>
      </x:c>
      <x:c r="D551" s="17" t="str">
        <x:v>Mobile + Web</x:v>
      </x:c>
      <x:c r="E551" s="17" t="str">
        <x:v>Families, employees, and educators</x:v>
      </x:c>
      <x:c r="F551" s="18" t="str">
        <x:v>QR Safety Practice provides a focused security education and simulation workflow for families, employees, and educators.</x:v>
      </x:c>
      <x:c r="G551" s="18" t="str">
        <x:v>Lessons, Simulations, Assessments, Progress</x:v>
      </x:c>
      <x:c r="H551" s="17" t="str">
        <x:v>Subscription + Content</x:v>
      </x:c>
      <x:c r="I551" s="17" t="str">
        <x:v>Medium</x:v>
      </x:c>
      <x:c r="J551" s="17" t="str">
        <x:v>New candidate</x:v>
      </x:c>
      <x:c r="K551" s="17" t="str">
        <x:v>Unreviewed</x:v>
      </x:c>
      <x:c r="L551" s="17"/>
      <x:c r="M551" s="17"/>
      <x:c r="N551" s="17"/>
      <x:c r="O551" s="17"/>
      <x:c r="P551" s="17"/>
      <x:c r="Q551" s="17" t="str">
        <x:f>IF(COUNT(L551:P551)&lt;5,"",ROUND((L551*25+M551*20+N551*20+O551*20+P551*15)/5,1))</x:f>
      </x:c>
      <x:c r="R551" s="18" t="str"/>
      <x:c r="S551" s="18" t="str"/>
      <x:c r="T551" s="17" t="str"/>
      <x:c r="U551" s="19"/>
    </x:row>
    <x:row r="552">
      <x:c r="A552" s="17" t="str">
        <x:v>MTS-0551</x:v>
      </x:c>
      <x:c r="B552" s="17" t="str">
        <x:v>Device Loss Response Drill</x:v>
      </x:c>
      <x:c r="C552" s="17" t="str">
        <x:v>Security Education and Simulation</x:v>
      </x:c>
      <x:c r="D552" s="17" t="str">
        <x:v>Mobile + Web</x:v>
      </x:c>
      <x:c r="E552" s="17" t="str">
        <x:v>Families, employees, and educators</x:v>
      </x:c>
      <x:c r="F552" s="18" t="str">
        <x:v>Device Loss Response Drill provides a focused security education and simulation workflow for families, employees, and educators.</x:v>
      </x:c>
      <x:c r="G552" s="18" t="str">
        <x:v>Lessons, Simulations, Assessments, Progress</x:v>
      </x:c>
      <x:c r="H552" s="17" t="str">
        <x:v>Subscription + Content</x:v>
      </x:c>
      <x:c r="I552" s="17" t="str">
        <x:v>Medium</x:v>
      </x:c>
      <x:c r="J552" s="17" t="str">
        <x:v>New candidate</x:v>
      </x:c>
      <x:c r="K552" s="17" t="str">
        <x:v>Unreviewed</x:v>
      </x:c>
      <x:c r="L552" s="17"/>
      <x:c r="M552" s="17"/>
      <x:c r="N552" s="17"/>
      <x:c r="O552" s="17"/>
      <x:c r="P552" s="17"/>
      <x:c r="Q552" s="17" t="str">
        <x:f>IF(COUNT(L552:P552)&lt;5,"",ROUND((L552*25+M552*20+N552*20+O552*20+P552*15)/5,1))</x:f>
      </x:c>
      <x:c r="R552" s="18" t="str"/>
      <x:c r="S552" s="18" t="str"/>
      <x:c r="T552" s="17" t="str"/>
      <x:c r="U552" s="19"/>
    </x:row>
    <x:row r="553">
      <x:c r="A553" s="17" t="str">
        <x:v>MTS-0552</x:v>
      </x:c>
      <x:c r="B553" s="17" t="str">
        <x:v>Security Habit Challenge</x:v>
      </x:c>
      <x:c r="C553" s="17" t="str">
        <x:v>Security Education and Simulation</x:v>
      </x:c>
      <x:c r="D553" s="17" t="str">
        <x:v>Mobile + Web</x:v>
      </x:c>
      <x:c r="E553" s="17" t="str">
        <x:v>Families, employees, and educators</x:v>
      </x:c>
      <x:c r="F553" s="18" t="str">
        <x:v>Security Habit Challenge provides a focused security education and simulation workflow for families, employees, and educators.</x:v>
      </x:c>
      <x:c r="G553" s="18" t="str">
        <x:v>Lessons, Simulations, Assessments, Progress</x:v>
      </x:c>
      <x:c r="H553" s="17" t="str">
        <x:v>Subscription + Content</x:v>
      </x:c>
      <x:c r="I553" s="17" t="str">
        <x:v>Medium</x:v>
      </x:c>
      <x:c r="J553" s="17" t="str">
        <x:v>New candidate</x:v>
      </x:c>
      <x:c r="K553" s="17" t="str">
        <x:v>Unreviewed</x:v>
      </x:c>
      <x:c r="L553" s="17"/>
      <x:c r="M553" s="17"/>
      <x:c r="N553" s="17"/>
      <x:c r="O553" s="17"/>
      <x:c r="P553" s="17"/>
      <x:c r="Q553" s="17" t="str">
        <x:f>IF(COUNT(L553:P553)&lt;5,"",ROUND((L553*25+M553*20+N553*20+O553*20+P553*15)/5,1))</x:f>
      </x:c>
      <x:c r="R553" s="18" t="str"/>
      <x:c r="S553" s="18" t="str"/>
      <x:c r="T553" s="17" t="str"/>
      <x:c r="U553" s="19"/>
    </x:row>
    <x:row r="554">
      <x:c r="A554" s="17" t="str">
        <x:v>MTS-0553</x:v>
      </x:c>
      <x:c r="B554" s="17" t="str">
        <x:v>Lost Phone Response Plan</x:v>
      </x:c>
      <x:c r="C554" s="17" t="str">
        <x:v>Incident Response and Recovery</x:v>
      </x:c>
      <x:c r="D554" s="17" t="str">
        <x:v>Mobile + Web</x:v>
      </x:c>
      <x:c r="E554" s="17" t="str">
        <x:v>Consumers and small businesses</x:v>
      </x:c>
      <x:c r="F554" s="18" t="str">
        <x:v>Lost Phone Response Plan provides a focused incident response and recovery workflow for consumers and small businesses.</x:v>
      </x:c>
      <x:c r="G554" s="18" t="str">
        <x:v>Response Plans, Timeline, Evidence, Recovery</x:v>
      </x:c>
      <x:c r="H554" s="17" t="str">
        <x:v>Subscription + Pro</x:v>
      </x:c>
      <x:c r="I554" s="17" t="str">
        <x:v>Medium</x:v>
      </x:c>
      <x:c r="J554" s="17" t="str">
        <x:v>New candidate</x:v>
      </x:c>
      <x:c r="K554" s="17" t="str">
        <x:v>Unreviewed</x:v>
      </x:c>
      <x:c r="L554" s="17"/>
      <x:c r="M554" s="17"/>
      <x:c r="N554" s="17"/>
      <x:c r="O554" s="17"/>
      <x:c r="P554" s="17"/>
      <x:c r="Q554" s="17" t="str">
        <x:f>IF(COUNT(L554:P554)&lt;5,"",ROUND((L554*25+M554*20+N554*20+O554*20+P554*15)/5,1))</x:f>
      </x:c>
      <x:c r="R554" s="18" t="str"/>
      <x:c r="S554" s="18" t="str"/>
      <x:c r="T554" s="17" t="str"/>
      <x:c r="U554" s="19"/>
    </x:row>
    <x:row r="555">
      <x:c r="A555" s="17" t="str">
        <x:v>MTS-0554</x:v>
      </x:c>
      <x:c r="B555" s="17" t="str">
        <x:v>Stolen Laptop Response Plan</x:v>
      </x:c>
      <x:c r="C555" s="17" t="str">
        <x:v>Incident Response and Recovery</x:v>
      </x:c>
      <x:c r="D555" s="17" t="str">
        <x:v>Mobile + Web</x:v>
      </x:c>
      <x:c r="E555" s="17" t="str">
        <x:v>Consumers and small businesses</x:v>
      </x:c>
      <x:c r="F555" s="18" t="str">
        <x:v>Stolen Laptop Response Plan provides a focused incident response and recovery workflow for consumers and small businesses.</x:v>
      </x:c>
      <x:c r="G555" s="18" t="str">
        <x:v>Response Plans, Timeline, Evidence, Recovery</x:v>
      </x:c>
      <x:c r="H555" s="17" t="str">
        <x:v>Subscription + Pro</x:v>
      </x:c>
      <x:c r="I555" s="17" t="str">
        <x:v>Medium</x:v>
      </x:c>
      <x:c r="J555" s="17" t="str">
        <x:v>New candidate</x:v>
      </x:c>
      <x:c r="K555" s="17" t="str">
        <x:v>Unreviewed</x:v>
      </x:c>
      <x:c r="L555" s="17"/>
      <x:c r="M555" s="17"/>
      <x:c r="N555" s="17"/>
      <x:c r="O555" s="17"/>
      <x:c r="P555" s="17"/>
      <x:c r="Q555" s="17" t="str">
        <x:f>IF(COUNT(L555:P555)&lt;5,"",ROUND((L555*25+M555*20+N555*20+O555*20+P555*15)/5,1))</x:f>
      </x:c>
      <x:c r="R555" s="18" t="str"/>
      <x:c r="S555" s="18" t="str"/>
      <x:c r="T555" s="17" t="str"/>
      <x:c r="U555" s="19"/>
    </x:row>
    <x:row r="556">
      <x:c r="A556" s="17" t="str">
        <x:v>MTS-0555</x:v>
      </x:c>
      <x:c r="B556" s="17" t="str">
        <x:v>Compromised Email Recovery</x:v>
      </x:c>
      <x:c r="C556" s="17" t="str">
        <x:v>Incident Response and Recovery</x:v>
      </x:c>
      <x:c r="D556" s="17" t="str">
        <x:v>Mobile + Web</x:v>
      </x:c>
      <x:c r="E556" s="17" t="str">
        <x:v>Consumers and small businesses</x:v>
      </x:c>
      <x:c r="F556" s="18" t="str">
        <x:v>Compromised Email Recovery provides a focused incident response and recovery workflow for consumers and small businesses.</x:v>
      </x:c>
      <x:c r="G556" s="18" t="str">
        <x:v>Response Plans, Timeline, Evidence, Recovery</x:v>
      </x:c>
      <x:c r="H556" s="17" t="str">
        <x:v>Subscription + Pro</x:v>
      </x:c>
      <x:c r="I556" s="17" t="str">
        <x:v>Medium</x:v>
      </x:c>
      <x:c r="J556" s="17" t="str">
        <x:v>New candidate</x:v>
      </x:c>
      <x:c r="K556" s="17" t="str">
        <x:v>Unreviewed</x:v>
      </x:c>
      <x:c r="L556" s="17"/>
      <x:c r="M556" s="17"/>
      <x:c r="N556" s="17"/>
      <x:c r="O556" s="17"/>
      <x:c r="P556" s="17"/>
      <x:c r="Q556" s="17" t="str">
        <x:f>IF(COUNT(L556:P556)&lt;5,"",ROUND((L556*25+M556*20+N556*20+O556*20+P556*15)/5,1))</x:f>
      </x:c>
      <x:c r="R556" s="18" t="str"/>
      <x:c r="S556" s="18" t="str"/>
      <x:c r="T556" s="17" t="str"/>
      <x:c r="U556" s="19"/>
    </x:row>
    <x:row r="557">
      <x:c r="A557" s="17" t="str">
        <x:v>MTS-0556</x:v>
      </x:c>
      <x:c r="B557" s="17" t="str">
        <x:v>Social Account Takeover Recovery</x:v>
      </x:c>
      <x:c r="C557" s="17" t="str">
        <x:v>Incident Response and Recovery</x:v>
      </x:c>
      <x:c r="D557" s="17" t="str">
        <x:v>Mobile + Web</x:v>
      </x:c>
      <x:c r="E557" s="17" t="str">
        <x:v>Consumers and small businesses</x:v>
      </x:c>
      <x:c r="F557" s="18" t="str">
        <x:v>Social Account Takeover Recovery provides a focused incident response and recovery workflow for consumers and small businesses.</x:v>
      </x:c>
      <x:c r="G557" s="18" t="str">
        <x:v>Response Plans, Timeline, Evidence, Recovery</x:v>
      </x:c>
      <x:c r="H557" s="17" t="str">
        <x:v>Subscription + Pro</x:v>
      </x:c>
      <x:c r="I557" s="17" t="str">
        <x:v>Medium</x:v>
      </x:c>
      <x:c r="J557" s="17" t="str">
        <x:v>New candidate</x:v>
      </x:c>
      <x:c r="K557" s="17" t="str">
        <x:v>Unreviewed</x:v>
      </x:c>
      <x:c r="L557" s="17"/>
      <x:c r="M557" s="17"/>
      <x:c r="N557" s="17"/>
      <x:c r="O557" s="17"/>
      <x:c r="P557" s="17"/>
      <x:c r="Q557" s="17" t="str">
        <x:f>IF(COUNT(L557:P557)&lt;5,"",ROUND((L557*25+M557*20+N557*20+O557*20+P557*15)/5,1))</x:f>
      </x:c>
      <x:c r="R557" s="18" t="str"/>
      <x:c r="S557" s="18" t="str"/>
      <x:c r="T557" s="17" t="str"/>
      <x:c r="U557" s="19"/>
    </x:row>
    <x:row r="558">
      <x:c r="A558" s="17" t="str">
        <x:v>MTS-0557</x:v>
      </x:c>
      <x:c r="B558" s="17" t="str">
        <x:v>Ransomware First Response Guide</x:v>
      </x:c>
      <x:c r="C558" s="17" t="str">
        <x:v>Incident Response and Recovery</x:v>
      </x:c>
      <x:c r="D558" s="17" t="str">
        <x:v>Mobile + Web</x:v>
      </x:c>
      <x:c r="E558" s="17" t="str">
        <x:v>Consumers and small businesses</x:v>
      </x:c>
      <x:c r="F558" s="18" t="str">
        <x:v>Ransomware First Response Guide provides a focused incident response and recovery workflow for consumers and small businesses.</x:v>
      </x:c>
      <x:c r="G558" s="18" t="str">
        <x:v>Response Plans, Timeline, Evidence, Recovery</x:v>
      </x:c>
      <x:c r="H558" s="17" t="str">
        <x:v>Subscription + Pro</x:v>
      </x:c>
      <x:c r="I558" s="17" t="str">
        <x:v>Medium</x:v>
      </x:c>
      <x:c r="J558" s="17" t="str">
        <x:v>New candidate</x:v>
      </x:c>
      <x:c r="K558" s="17" t="str">
        <x:v>Unreviewed</x:v>
      </x:c>
      <x:c r="L558" s="17"/>
      <x:c r="M558" s="17"/>
      <x:c r="N558" s="17"/>
      <x:c r="O558" s="17"/>
      <x:c r="P558" s="17"/>
      <x:c r="Q558" s="17" t="str">
        <x:f>IF(COUNT(L558:P558)&lt;5,"",ROUND((L558*25+M558*20+N558*20+O558*20+P558*15)/5,1))</x:f>
      </x:c>
      <x:c r="R558" s="18" t="str"/>
      <x:c r="S558" s="18" t="str"/>
      <x:c r="T558" s="17" t="str"/>
      <x:c r="U558" s="19"/>
    </x:row>
    <x:row r="559">
      <x:c r="A559" s="17" t="str">
        <x:v>MTS-0558</x:v>
      </x:c>
      <x:c r="B559" s="17" t="str">
        <x:v>Payment Fraud Incident Log</x:v>
      </x:c>
      <x:c r="C559" s="17" t="str">
        <x:v>Incident Response and Recovery</x:v>
      </x:c>
      <x:c r="D559" s="17" t="str">
        <x:v>Mobile + Web</x:v>
      </x:c>
      <x:c r="E559" s="17" t="str">
        <x:v>Consumers and small businesses</x:v>
      </x:c>
      <x:c r="F559" s="18" t="str">
        <x:v>Payment Fraud Incident Log provides a focused incident response and recovery workflow for consumers and small businesses.</x:v>
      </x:c>
      <x:c r="G559" s="18" t="str">
        <x:v>Response Plans, Timeline, Evidence, Recovery</x:v>
      </x:c>
      <x:c r="H559" s="17" t="str">
        <x:v>Subscription + Pro</x:v>
      </x:c>
      <x:c r="I559" s="17" t="str">
        <x:v>Medium</x:v>
      </x:c>
      <x:c r="J559" s="17" t="str">
        <x:v>New candidate</x:v>
      </x:c>
      <x:c r="K559" s="17" t="str">
        <x:v>Unreviewed</x:v>
      </x:c>
      <x:c r="L559" s="17"/>
      <x:c r="M559" s="17"/>
      <x:c r="N559" s="17"/>
      <x:c r="O559" s="17"/>
      <x:c r="P559" s="17"/>
      <x:c r="Q559" s="17" t="str">
        <x:f>IF(COUNT(L559:P559)&lt;5,"",ROUND((L559*25+M559*20+N559*20+O559*20+P559*15)/5,1))</x:f>
      </x:c>
      <x:c r="R559" s="18" t="str"/>
      <x:c r="S559" s="18" t="str"/>
      <x:c r="T559" s="17" t="str"/>
      <x:c r="U559" s="19"/>
    </x:row>
    <x:row r="560">
      <x:c r="A560" s="17" t="str">
        <x:v>MTS-0559</x:v>
      </x:c>
      <x:c r="B560" s="17" t="str">
        <x:v>Data Breach Action Checklist</x:v>
      </x:c>
      <x:c r="C560" s="17" t="str">
        <x:v>Incident Response and Recovery</x:v>
      </x:c>
      <x:c r="D560" s="17" t="str">
        <x:v>Mobile + Web</x:v>
      </x:c>
      <x:c r="E560" s="17" t="str">
        <x:v>Consumers and small businesses</x:v>
      </x:c>
      <x:c r="F560" s="18" t="str">
        <x:v>Data Breach Action Checklist provides a focused incident response and recovery workflow for consumers and small businesses.</x:v>
      </x:c>
      <x:c r="G560" s="18" t="str">
        <x:v>Response Plans, Timeline, Evidence, Recovery</x:v>
      </x:c>
      <x:c r="H560" s="17" t="str">
        <x:v>Subscription + Pro</x:v>
      </x:c>
      <x:c r="I560" s="17" t="str">
        <x:v>Medium</x:v>
      </x:c>
      <x:c r="J560" s="17" t="str">
        <x:v>New candidate</x:v>
      </x:c>
      <x:c r="K560" s="17" t="str">
        <x:v>Unreviewed</x:v>
      </x:c>
      <x:c r="L560" s="17"/>
      <x:c r="M560" s="17"/>
      <x:c r="N560" s="17"/>
      <x:c r="O560" s="17"/>
      <x:c r="P560" s="17"/>
      <x:c r="Q560" s="17" t="str">
        <x:f>IF(COUNT(L560:P560)&lt;5,"",ROUND((L560*25+M560*20+N560*20+O560*20+P560*15)/5,1))</x:f>
      </x:c>
      <x:c r="R560" s="18" t="str"/>
      <x:c r="S560" s="18" t="str"/>
      <x:c r="T560" s="17" t="str"/>
      <x:c r="U560" s="19"/>
    </x:row>
    <x:row r="561">
      <x:c r="A561" s="17" t="str">
        <x:v>MTS-0560</x:v>
      </x:c>
      <x:c r="B561" s="17" t="str">
        <x:v>Identity Theft Recovery Tracker</x:v>
      </x:c>
      <x:c r="C561" s="17" t="str">
        <x:v>Incident Response and Recovery</x:v>
      </x:c>
      <x:c r="D561" s="17" t="str">
        <x:v>Mobile + Web</x:v>
      </x:c>
      <x:c r="E561" s="17" t="str">
        <x:v>Consumers and small businesses</x:v>
      </x:c>
      <x:c r="F561" s="18" t="str">
        <x:v>Identity Theft Recovery Tracker provides a focused incident response and recovery workflow for consumers and small businesses.</x:v>
      </x:c>
      <x:c r="G561" s="18" t="str">
        <x:v>Response Plans, Timeline, Evidence, Recovery</x:v>
      </x:c>
      <x:c r="H561" s="17" t="str">
        <x:v>Subscription + Pro</x:v>
      </x:c>
      <x:c r="I561" s="17" t="str">
        <x:v>Medium</x:v>
      </x:c>
      <x:c r="J561" s="17" t="str">
        <x:v>New candidate</x:v>
      </x:c>
      <x:c r="K561" s="17" t="str">
        <x:v>Unreviewed</x:v>
      </x:c>
      <x:c r="L561" s="17"/>
      <x:c r="M561" s="17"/>
      <x:c r="N561" s="17"/>
      <x:c r="O561" s="17"/>
      <x:c r="P561" s="17"/>
      <x:c r="Q561" s="17" t="str">
        <x:f>IF(COUNT(L561:P561)&lt;5,"",ROUND((L561*25+M561*20+N561*20+O561*20+P561*15)/5,1))</x:f>
      </x:c>
      <x:c r="R561" s="18" t="str"/>
      <x:c r="S561" s="18" t="str"/>
      <x:c r="T561" s="17" t="str"/>
      <x:c r="U561" s="19"/>
    </x:row>
    <x:row r="562">
      <x:c r="A562" s="17" t="str">
        <x:v>MTS-0561</x:v>
      </x:c>
      <x:c r="B562" s="17" t="str">
        <x:v>Unauthorized App Response</x:v>
      </x:c>
      <x:c r="C562" s="17" t="str">
        <x:v>Incident Response and Recovery</x:v>
      </x:c>
      <x:c r="D562" s="17" t="str">
        <x:v>Mobile + Web</x:v>
      </x:c>
      <x:c r="E562" s="17" t="str">
        <x:v>Consumers and small businesses</x:v>
      </x:c>
      <x:c r="F562" s="18" t="str">
        <x:v>Unauthorized App Response provides a focused incident response and recovery workflow for consumers and small businesses.</x:v>
      </x:c>
      <x:c r="G562" s="18" t="str">
        <x:v>Response Plans, Timeline, Evidence, Recovery</x:v>
      </x:c>
      <x:c r="H562" s="17" t="str">
        <x:v>Subscription + Pro</x:v>
      </x:c>
      <x:c r="I562" s="17" t="str">
        <x:v>Medium</x:v>
      </x:c>
      <x:c r="J562" s="17" t="str">
        <x:v>New candidate</x:v>
      </x:c>
      <x:c r="K562" s="17" t="str">
        <x:v>Unreviewed</x:v>
      </x:c>
      <x:c r="L562" s="17"/>
      <x:c r="M562" s="17"/>
      <x:c r="N562" s="17"/>
      <x:c r="O562" s="17"/>
      <x:c r="P562" s="17"/>
      <x:c r="Q562" s="17" t="str">
        <x:f>IF(COUNT(L562:P562)&lt;5,"",ROUND((L562*25+M562*20+N562*20+O562*20+P562*15)/5,1))</x:f>
      </x:c>
      <x:c r="R562" s="18" t="str"/>
      <x:c r="S562" s="18" t="str"/>
      <x:c r="T562" s="17" t="str"/>
      <x:c r="U562" s="19"/>
    </x:row>
    <x:row r="563">
      <x:c r="A563" s="17" t="str">
        <x:v>MTS-0562</x:v>
      </x:c>
      <x:c r="B563" s="17" t="str">
        <x:v>Home Network Incident Journal</x:v>
      </x:c>
      <x:c r="C563" s="17" t="str">
        <x:v>Incident Response and Recovery</x:v>
      </x:c>
      <x:c r="D563" s="17" t="str">
        <x:v>Mobile + Web</x:v>
      </x:c>
      <x:c r="E563" s="17" t="str">
        <x:v>Consumers and small businesses</x:v>
      </x:c>
      <x:c r="F563" s="18" t="str">
        <x:v>Home Network Incident Journal provides a focused incident response and recovery workflow for consumers and small businesses.</x:v>
      </x:c>
      <x:c r="G563" s="18" t="str">
        <x:v>Response Plans, Timeline, Evidence, Recovery</x:v>
      </x:c>
      <x:c r="H563" s="17" t="str">
        <x:v>Subscription + Pro</x:v>
      </x:c>
      <x:c r="I563" s="17" t="str">
        <x:v>Medium</x:v>
      </x:c>
      <x:c r="J563" s="17" t="str">
        <x:v>New candidate</x:v>
      </x:c>
      <x:c r="K563" s="17" t="str">
        <x:v>Unreviewed</x:v>
      </x:c>
      <x:c r="L563" s="17"/>
      <x:c r="M563" s="17"/>
      <x:c r="N563" s="17"/>
      <x:c r="O563" s="17"/>
      <x:c r="P563" s="17"/>
      <x:c r="Q563" s="17" t="str">
        <x:f>IF(COUNT(L563:P563)&lt;5,"",ROUND((L563*25+M563*20+N563*20+O563*20+P563*15)/5,1))</x:f>
      </x:c>
      <x:c r="R563" s="18" t="str"/>
      <x:c r="S563" s="18" t="str"/>
      <x:c r="T563" s="17" t="str"/>
      <x:c r="U563" s="19"/>
    </x:row>
    <x:row r="564">
      <x:c r="A564" s="17" t="str">
        <x:v>MTS-0563</x:v>
      </x:c>
      <x:c r="B564" s="17" t="str">
        <x:v>Security Incident Timeline</x:v>
      </x:c>
      <x:c r="C564" s="17" t="str">
        <x:v>Incident Response and Recovery</x:v>
      </x:c>
      <x:c r="D564" s="17" t="str">
        <x:v>Mobile + Web</x:v>
      </x:c>
      <x:c r="E564" s="17" t="str">
        <x:v>Consumers and small businesses</x:v>
      </x:c>
      <x:c r="F564" s="18" t="str">
        <x:v>Security Incident Timeline provides a focused incident response and recovery workflow for consumers and small businesses.</x:v>
      </x:c>
      <x:c r="G564" s="18" t="str">
        <x:v>Response Plans, Timeline, Evidence, Recovery</x:v>
      </x:c>
      <x:c r="H564" s="17" t="str">
        <x:v>Subscription + Pro</x:v>
      </x:c>
      <x:c r="I564" s="17" t="str">
        <x:v>Medium</x:v>
      </x:c>
      <x:c r="J564" s="17" t="str">
        <x:v>New candidate</x:v>
      </x:c>
      <x:c r="K564" s="17" t="str">
        <x:v>Unreviewed</x:v>
      </x:c>
      <x:c r="L564" s="17"/>
      <x:c r="M564" s="17"/>
      <x:c r="N564" s="17"/>
      <x:c r="O564" s="17"/>
      <x:c r="P564" s="17"/>
      <x:c r="Q564" s="17" t="str">
        <x:f>IF(COUNT(L564:P564)&lt;5,"",ROUND((L564*25+M564*20+N564*20+O564*20+P564*15)/5,1))</x:f>
      </x:c>
      <x:c r="R564" s="18" t="str"/>
      <x:c r="S564" s="18" t="str"/>
      <x:c r="T564" s="17" t="str"/>
      <x:c r="U564" s="19"/>
    </x:row>
    <x:row r="565">
      <x:c r="A565" s="17" t="str">
        <x:v>MTS-0564</x:v>
      </x:c>
      <x:c r="B565" s="17" t="str">
        <x:v>Post-Incident Improvement Plan</x:v>
      </x:c>
      <x:c r="C565" s="17" t="str">
        <x:v>Incident Response and Recovery</x:v>
      </x:c>
      <x:c r="D565" s="17" t="str">
        <x:v>Mobile + Web</x:v>
      </x:c>
      <x:c r="E565" s="17" t="str">
        <x:v>Consumers and small businesses</x:v>
      </x:c>
      <x:c r="F565" s="18" t="str">
        <x:v>Post-Incident Improvement Plan provides a focused incident response and recovery workflow for consumers and small businesses.</x:v>
      </x:c>
      <x:c r="G565" s="18" t="str">
        <x:v>Response Plans, Timeline, Evidence, Recovery</x:v>
      </x:c>
      <x:c r="H565" s="17" t="str">
        <x:v>Subscription + Pro</x:v>
      </x:c>
      <x:c r="I565" s="17" t="str">
        <x:v>Medium</x:v>
      </x:c>
      <x:c r="J565" s="17" t="str">
        <x:v>New candidate</x:v>
      </x:c>
      <x:c r="K565" s="17" t="str">
        <x:v>Unreviewed</x:v>
      </x:c>
      <x:c r="L565" s="17"/>
      <x:c r="M565" s="17"/>
      <x:c r="N565" s="17"/>
      <x:c r="O565" s="17"/>
      <x:c r="P565" s="17"/>
      <x:c r="Q565" s="17" t="str">
        <x:f>IF(COUNT(L565:P565)&lt;5,"",ROUND((L565*25+M565*20+N565*20+O565*20+P565*15)/5,1))</x:f>
      </x:c>
      <x:c r="R565" s="18" t="str"/>
      <x:c r="S565" s="18" t="str"/>
      <x:c r="T565" s="17" t="str"/>
      <x:c r="U565" s="19"/>
    </x:row>
    <x:row r="566">
      <x:c r="A566" s="17" t="str">
        <x:v>MTS-0565</x:v>
      </x:c>
      <x:c r="B566" s="17" t="str">
        <x:v>Battery Health Journal</x:v>
      </x:c>
      <x:c r="C566" s="17" t="str">
        <x:v>Device Diagnostics and Health</x:v>
      </x:c>
      <x:c r="D566" s="17" t="str">
        <x:v>Mobile + Desktop</x:v>
      </x:c>
      <x:c r="E566" s="17" t="str">
        <x:v>Phone and computer owners</x:v>
      </x:c>
      <x:c r="F566" s="18" t="str">
        <x:v>Battery Health Journal provides a focused device diagnostics and health workflow for phone and computer owners.</x:v>
      </x:c>
      <x:c r="G566" s="18" t="str">
        <x:v>Diagnostics, Sensors, Baselines, Trends</x:v>
      </x:c>
      <x:c r="H566" s="17" t="str">
        <x:v>Freemium + Pro</x:v>
      </x:c>
      <x:c r="I566" s="17" t="str">
        <x:v>Medium</x:v>
      </x:c>
      <x:c r="J566" s="17" t="str">
        <x:v>New candidate</x:v>
      </x:c>
      <x:c r="K566" s="17" t="str">
        <x:v>Unreviewed</x:v>
      </x:c>
      <x:c r="L566" s="17"/>
      <x:c r="M566" s="17"/>
      <x:c r="N566" s="17"/>
      <x:c r="O566" s="17"/>
      <x:c r="P566" s="17"/>
      <x:c r="Q566" s="17" t="str">
        <x:f>IF(COUNT(L566:P566)&lt;5,"",ROUND((L566*25+M566*20+N566*20+O566*20+P566*15)/5,1))</x:f>
      </x:c>
      <x:c r="R566" s="18" t="str"/>
      <x:c r="S566" s="18" t="str"/>
      <x:c r="T566" s="17" t="str"/>
      <x:c r="U566" s="19"/>
    </x:row>
    <x:row r="567">
      <x:c r="A567" s="17" t="str">
        <x:v>MTS-0566</x:v>
      </x:c>
      <x:c r="B567" s="17" t="str">
        <x:v>Storage Wear Monitor</x:v>
      </x:c>
      <x:c r="C567" s="17" t="str">
        <x:v>Device Diagnostics and Health</x:v>
      </x:c>
      <x:c r="D567" s="17" t="str">
        <x:v>Mobile + Desktop</x:v>
      </x:c>
      <x:c r="E567" s="17" t="str">
        <x:v>Phone and computer owners</x:v>
      </x:c>
      <x:c r="F567" s="18" t="str">
        <x:v>Storage Wear Monitor provides a focused device diagnostics and health workflow for phone and computer owners.</x:v>
      </x:c>
      <x:c r="G567" s="18" t="str">
        <x:v>Diagnostics, Sensors, Baselines, Trends</x:v>
      </x:c>
      <x:c r="H567" s="17" t="str">
        <x:v>Freemium + Pro</x:v>
      </x:c>
      <x:c r="I567" s="17" t="str">
        <x:v>Medium</x:v>
      </x:c>
      <x:c r="J567" s="17" t="str">
        <x:v>New candidate</x:v>
      </x:c>
      <x:c r="K567" s="17" t="str">
        <x:v>Unreviewed</x:v>
      </x:c>
      <x:c r="L567" s="17"/>
      <x:c r="M567" s="17"/>
      <x:c r="N567" s="17"/>
      <x:c r="O567" s="17"/>
      <x:c r="P567" s="17"/>
      <x:c r="Q567" s="17" t="str">
        <x:f>IF(COUNT(L567:P567)&lt;5,"",ROUND((L567*25+M567*20+N567*20+O567*20+P567*15)/5,1))</x:f>
      </x:c>
      <x:c r="R567" s="18" t="str"/>
      <x:c r="S567" s="18" t="str"/>
      <x:c r="T567" s="17" t="str"/>
      <x:c r="U567" s="19"/>
    </x:row>
    <x:row r="568">
      <x:c r="A568" s="17" t="str">
        <x:v>MTS-0567</x:v>
      </x:c>
      <x:c r="B568" s="17" t="str">
        <x:v>Thermal Event Logger</x:v>
      </x:c>
      <x:c r="C568" s="17" t="str">
        <x:v>Device Diagnostics and Health</x:v>
      </x:c>
      <x:c r="D568" s="17" t="str">
        <x:v>Mobile + Desktop</x:v>
      </x:c>
      <x:c r="E568" s="17" t="str">
        <x:v>Phone and computer owners</x:v>
      </x:c>
      <x:c r="F568" s="18" t="str">
        <x:v>Thermal Event Logger provides a focused device diagnostics and health workflow for phone and computer owners.</x:v>
      </x:c>
      <x:c r="G568" s="18" t="str">
        <x:v>Diagnostics, Sensors, Baselines, Trends</x:v>
      </x:c>
      <x:c r="H568" s="17" t="str">
        <x:v>Freemium + Pro</x:v>
      </x:c>
      <x:c r="I568" s="17" t="str">
        <x:v>Medium</x:v>
      </x:c>
      <x:c r="J568" s="17" t="str">
        <x:v>New candidate</x:v>
      </x:c>
      <x:c r="K568" s="17" t="str">
        <x:v>Unreviewed</x:v>
      </x:c>
      <x:c r="L568" s="17"/>
      <x:c r="M568" s="17"/>
      <x:c r="N568" s="17"/>
      <x:c r="O568" s="17"/>
      <x:c r="P568" s="17"/>
      <x:c r="Q568" s="17" t="str">
        <x:f>IF(COUNT(L568:P568)&lt;5,"",ROUND((L568*25+M568*20+N568*20+O568*20+P568*15)/5,1))</x:f>
      </x:c>
      <x:c r="R568" s="18" t="str"/>
      <x:c r="S568" s="18" t="str"/>
      <x:c r="T568" s="17" t="str"/>
      <x:c r="U568" s="19"/>
    </x:row>
    <x:row r="569">
      <x:c r="A569" s="17" t="str">
        <x:v>MTS-0568</x:v>
      </x:c>
      <x:c r="B569" s="17" t="str">
        <x:v>Charging Speed Analyzer</x:v>
      </x:c>
      <x:c r="C569" s="17" t="str">
        <x:v>Device Diagnostics and Health</x:v>
      </x:c>
      <x:c r="D569" s="17" t="str">
        <x:v>Mobile + Desktop</x:v>
      </x:c>
      <x:c r="E569" s="17" t="str">
        <x:v>Phone and computer owners</x:v>
      </x:c>
      <x:c r="F569" s="18" t="str">
        <x:v>Charging Speed Analyzer provides a focused device diagnostics and health workflow for phone and computer owners.</x:v>
      </x:c>
      <x:c r="G569" s="18" t="str">
        <x:v>Diagnostics, Sensors, Baselines, Trends</x:v>
      </x:c>
      <x:c r="H569" s="17" t="str">
        <x:v>Freemium + Pro</x:v>
      </x:c>
      <x:c r="I569" s="17" t="str">
        <x:v>Medium</x:v>
      </x:c>
      <x:c r="J569" s="17" t="str">
        <x:v>New candidate</x:v>
      </x:c>
      <x:c r="K569" s="17" t="str">
        <x:v>Unreviewed</x:v>
      </x:c>
      <x:c r="L569" s="17"/>
      <x:c r="M569" s="17"/>
      <x:c r="N569" s="17"/>
      <x:c r="O569" s="17"/>
      <x:c r="P569" s="17"/>
      <x:c r="Q569" s="17" t="str">
        <x:f>IF(COUNT(L569:P569)&lt;5,"",ROUND((L569*25+M569*20+N569*20+O569*20+P569*15)/5,1))</x:f>
      </x:c>
      <x:c r="R569" s="18" t="str"/>
      <x:c r="S569" s="18" t="str"/>
      <x:c r="T569" s="17" t="str"/>
      <x:c r="U569" s="19"/>
    </x:row>
    <x:row r="570">
      <x:c r="A570" s="17" t="str">
        <x:v>MTS-0569</x:v>
      </x:c>
      <x:c r="B570" s="17" t="str">
        <x:v>Network Health Snapshot</x:v>
      </x:c>
      <x:c r="C570" s="17" t="str">
        <x:v>Device Diagnostics and Health</x:v>
      </x:c>
      <x:c r="D570" s="17" t="str">
        <x:v>Mobile + Desktop</x:v>
      </x:c>
      <x:c r="E570" s="17" t="str">
        <x:v>Phone and computer owners</x:v>
      </x:c>
      <x:c r="F570" s="18" t="str">
        <x:v>Network Health Snapshot provides a focused device diagnostics and health workflow for phone and computer owners.</x:v>
      </x:c>
      <x:c r="G570" s="18" t="str">
        <x:v>Diagnostics, Sensors, Baselines, Trends</x:v>
      </x:c>
      <x:c r="H570" s="17" t="str">
        <x:v>Freemium + Pro</x:v>
      </x:c>
      <x:c r="I570" s="17" t="str">
        <x:v>Medium</x:v>
      </x:c>
      <x:c r="J570" s="17" t="str">
        <x:v>New candidate</x:v>
      </x:c>
      <x:c r="K570" s="17" t="str">
        <x:v>Unreviewed</x:v>
      </x:c>
      <x:c r="L570" s="17"/>
      <x:c r="M570" s="17"/>
      <x:c r="N570" s="17"/>
      <x:c r="O570" s="17"/>
      <x:c r="P570" s="17"/>
      <x:c r="Q570" s="17" t="str">
        <x:f>IF(COUNT(L570:P570)&lt;5,"",ROUND((L570*25+M570*20+N570*20+O570*20+P570*15)/5,1))</x:f>
      </x:c>
      <x:c r="R570" s="18" t="str"/>
      <x:c r="S570" s="18" t="str"/>
      <x:c r="T570" s="17" t="str"/>
      <x:c r="U570" s="19"/>
    </x:row>
    <x:row r="571">
      <x:c r="A571" s="17" t="str">
        <x:v>MTS-0570</x:v>
      </x:c>
      <x:c r="B571" s="17" t="str">
        <x:v>Device Sensor Diagnostic</x:v>
      </x:c>
      <x:c r="C571" s="17" t="str">
        <x:v>Device Diagnostics and Health</x:v>
      </x:c>
      <x:c r="D571" s="17" t="str">
        <x:v>Mobile + Desktop</x:v>
      </x:c>
      <x:c r="E571" s="17" t="str">
        <x:v>Phone and computer owners</x:v>
      </x:c>
      <x:c r="F571" s="18" t="str">
        <x:v>Device Sensor Diagnostic provides a focused device diagnostics and health workflow for phone and computer owners.</x:v>
      </x:c>
      <x:c r="G571" s="18" t="str">
        <x:v>Diagnostics, Sensors, Baselines, Trends</x:v>
      </x:c>
      <x:c r="H571" s="17" t="str">
        <x:v>Freemium + Pro</x:v>
      </x:c>
      <x:c r="I571" s="17" t="str">
        <x:v>Medium</x:v>
      </x:c>
      <x:c r="J571" s="17" t="str">
        <x:v>New candidate</x:v>
      </x:c>
      <x:c r="K571" s="17" t="str">
        <x:v>Unreviewed</x:v>
      </x:c>
      <x:c r="L571" s="17"/>
      <x:c r="M571" s="17"/>
      <x:c r="N571" s="17"/>
      <x:c r="O571" s="17"/>
      <x:c r="P571" s="17"/>
      <x:c r="Q571" s="17" t="str">
        <x:f>IF(COUNT(L571:P571)&lt;5,"",ROUND((L571*25+M571*20+N571*20+O571*20+P571*15)/5,1))</x:f>
      </x:c>
      <x:c r="R571" s="18" t="str"/>
      <x:c r="S571" s="18" t="str"/>
      <x:c r="T571" s="17" t="str"/>
      <x:c r="U571" s="19"/>
    </x:row>
    <x:row r="572">
      <x:c r="A572" s="17" t="str">
        <x:v>MTS-0571</x:v>
      </x:c>
      <x:c r="B572" s="17" t="str">
        <x:v>Phone Performance Baseline</x:v>
      </x:c>
      <x:c r="C572" s="17" t="str">
        <x:v>Device Diagnostics and Health</x:v>
      </x:c>
      <x:c r="D572" s="17" t="str">
        <x:v>Mobile + Desktop</x:v>
      </x:c>
      <x:c r="E572" s="17" t="str">
        <x:v>Phone and computer owners</x:v>
      </x:c>
      <x:c r="F572" s="18" t="str">
        <x:v>Phone Performance Baseline provides a focused device diagnostics and health workflow for phone and computer owners.</x:v>
      </x:c>
      <x:c r="G572" s="18" t="str">
        <x:v>Diagnostics, Sensors, Baselines, Trends</x:v>
      </x:c>
      <x:c r="H572" s="17" t="str">
        <x:v>Freemium + Pro</x:v>
      </x:c>
      <x:c r="I572" s="17" t="str">
        <x:v>Medium</x:v>
      </x:c>
      <x:c r="J572" s="17" t="str">
        <x:v>New candidate</x:v>
      </x:c>
      <x:c r="K572" s="17" t="str">
        <x:v>Unreviewed</x:v>
      </x:c>
      <x:c r="L572" s="17"/>
      <x:c r="M572" s="17"/>
      <x:c r="N572" s="17"/>
      <x:c r="O572" s="17"/>
      <x:c r="P572" s="17"/>
      <x:c r="Q572" s="17" t="str">
        <x:f>IF(COUNT(L572:P572)&lt;5,"",ROUND((L572*25+M572*20+N572*20+O572*20+P572*15)/5,1))</x:f>
      </x:c>
      <x:c r="R572" s="18" t="str"/>
      <x:c r="S572" s="18" t="str"/>
      <x:c r="T572" s="17" t="str"/>
      <x:c r="U572" s="19"/>
    </x:row>
    <x:row r="573">
      <x:c r="A573" s="17" t="str">
        <x:v>MTS-0572</x:v>
      </x:c>
      <x:c r="B573" s="17" t="str">
        <x:v>Desktop Health Snapshot</x:v>
      </x:c>
      <x:c r="C573" s="17" t="str">
        <x:v>Device Diagnostics and Health</x:v>
      </x:c>
      <x:c r="D573" s="17" t="str">
        <x:v>Mobile + Desktop</x:v>
      </x:c>
      <x:c r="E573" s="17" t="str">
        <x:v>Phone and computer owners</x:v>
      </x:c>
      <x:c r="F573" s="18" t="str">
        <x:v>Desktop Health Snapshot provides a focused device diagnostics and health workflow for phone and computer owners.</x:v>
      </x:c>
      <x:c r="G573" s="18" t="str">
        <x:v>Diagnostics, Sensors, Baselines, Trends</x:v>
      </x:c>
      <x:c r="H573" s="17" t="str">
        <x:v>Freemium + Pro</x:v>
      </x:c>
      <x:c r="I573" s="17" t="str">
        <x:v>Medium</x:v>
      </x:c>
      <x:c r="J573" s="17" t="str">
        <x:v>New candidate</x:v>
      </x:c>
      <x:c r="K573" s="17" t="str">
        <x:v>Unreviewed</x:v>
      </x:c>
      <x:c r="L573" s="17"/>
      <x:c r="M573" s="17"/>
      <x:c r="N573" s="17"/>
      <x:c r="O573" s="17"/>
      <x:c r="P573" s="17"/>
      <x:c r="Q573" s="17" t="str">
        <x:f>IF(COUNT(L573:P573)&lt;5,"",ROUND((L573*25+M573*20+N573*20+O573*20+P573*15)/5,1))</x:f>
      </x:c>
      <x:c r="R573" s="18" t="str"/>
      <x:c r="S573" s="18" t="str"/>
      <x:c r="T573" s="17" t="str"/>
      <x:c r="U573" s="19"/>
    </x:row>
    <x:row r="574">
      <x:c r="A574" s="17" t="str">
        <x:v>MTS-0573</x:v>
      </x:c>
      <x:c r="B574" s="17" t="str">
        <x:v>Crash Pattern Journal</x:v>
      </x:c>
      <x:c r="C574" s="17" t="str">
        <x:v>Device Diagnostics and Health</x:v>
      </x:c>
      <x:c r="D574" s="17" t="str">
        <x:v>Mobile + Desktop</x:v>
      </x:c>
      <x:c r="E574" s="17" t="str">
        <x:v>Phone and computer owners</x:v>
      </x:c>
      <x:c r="F574" s="18" t="str">
        <x:v>Crash Pattern Journal provides a focused device diagnostics and health workflow for phone and computer owners.</x:v>
      </x:c>
      <x:c r="G574" s="18" t="str">
        <x:v>Diagnostics, Sensors, Baselines, Trends</x:v>
      </x:c>
      <x:c r="H574" s="17" t="str">
        <x:v>Freemium + Pro</x:v>
      </x:c>
      <x:c r="I574" s="17" t="str">
        <x:v>Medium</x:v>
      </x:c>
      <x:c r="J574" s="17" t="str">
        <x:v>New candidate</x:v>
      </x:c>
      <x:c r="K574" s="17" t="str">
        <x:v>Unreviewed</x:v>
      </x:c>
      <x:c r="L574" s="17"/>
      <x:c r="M574" s="17"/>
      <x:c r="N574" s="17"/>
      <x:c r="O574" s="17"/>
      <x:c r="P574" s="17"/>
      <x:c r="Q574" s="17" t="str">
        <x:f>IF(COUNT(L574:P574)&lt;5,"",ROUND((L574*25+M574*20+N574*20+O574*20+P574*15)/5,1))</x:f>
      </x:c>
      <x:c r="R574" s="18" t="str"/>
      <x:c r="S574" s="18" t="str"/>
      <x:c r="T574" s="17" t="str"/>
      <x:c r="U574" s="19"/>
    </x:row>
    <x:row r="575">
      <x:c r="A575" s="17" t="str">
        <x:v>MTS-0574</x:v>
      </x:c>
      <x:c r="B575" s="17" t="str">
        <x:v>Memory Pressure Monitor</x:v>
      </x:c>
      <x:c r="C575" s="17" t="str">
        <x:v>Device Diagnostics and Health</x:v>
      </x:c>
      <x:c r="D575" s="17" t="str">
        <x:v>Mobile + Desktop</x:v>
      </x:c>
      <x:c r="E575" s="17" t="str">
        <x:v>Phone and computer owners</x:v>
      </x:c>
      <x:c r="F575" s="18" t="str">
        <x:v>Memory Pressure Monitor provides a focused device diagnostics and health workflow for phone and computer owners.</x:v>
      </x:c>
      <x:c r="G575" s="18" t="str">
        <x:v>Diagnostics, Sensors, Baselines, Trends</x:v>
      </x:c>
      <x:c r="H575" s="17" t="str">
        <x:v>Freemium + Pro</x:v>
      </x:c>
      <x:c r="I575" s="17" t="str">
        <x:v>Medium</x:v>
      </x:c>
      <x:c r="J575" s="17" t="str">
        <x:v>New candidate</x:v>
      </x:c>
      <x:c r="K575" s="17" t="str">
        <x:v>Unreviewed</x:v>
      </x:c>
      <x:c r="L575" s="17"/>
      <x:c r="M575" s="17"/>
      <x:c r="N575" s="17"/>
      <x:c r="O575" s="17"/>
      <x:c r="P575" s="17"/>
      <x:c r="Q575" s="17" t="str">
        <x:f>IF(COUNT(L575:P575)&lt;5,"",ROUND((L575*25+M575*20+N575*20+O575*20+P575*15)/5,1))</x:f>
      </x:c>
      <x:c r="R575" s="18" t="str"/>
      <x:c r="S575" s="18" t="str"/>
      <x:c r="T575" s="17" t="str"/>
      <x:c r="U575" s="19"/>
    </x:row>
    <x:row r="576">
      <x:c r="A576" s="17" t="str">
        <x:v>MTS-0575</x:v>
      </x:c>
      <x:c r="B576" s="17" t="str">
        <x:v>Battery Drain Investigation</x:v>
      </x:c>
      <x:c r="C576" s="17" t="str">
        <x:v>Device Diagnostics and Health</x:v>
      </x:c>
      <x:c r="D576" s="17" t="str">
        <x:v>Mobile + Desktop</x:v>
      </x:c>
      <x:c r="E576" s="17" t="str">
        <x:v>Phone and computer owners</x:v>
      </x:c>
      <x:c r="F576" s="18" t="str">
        <x:v>Battery Drain Investigation provides a focused device diagnostics and health workflow for phone and computer owners.</x:v>
      </x:c>
      <x:c r="G576" s="18" t="str">
        <x:v>Diagnostics, Sensors, Baselines, Trends</x:v>
      </x:c>
      <x:c r="H576" s="17" t="str">
        <x:v>Freemium + Pro</x:v>
      </x:c>
      <x:c r="I576" s="17" t="str">
        <x:v>Medium</x:v>
      </x:c>
      <x:c r="J576" s="17" t="str">
        <x:v>New candidate</x:v>
      </x:c>
      <x:c r="K576" s="17" t="str">
        <x:v>Unreviewed</x:v>
      </x:c>
      <x:c r="L576" s="17"/>
      <x:c r="M576" s="17"/>
      <x:c r="N576" s="17"/>
      <x:c r="O576" s="17"/>
      <x:c r="P576" s="17"/>
      <x:c r="Q576" s="17" t="str">
        <x:f>IF(COUNT(L576:P576)&lt;5,"",ROUND((L576*25+M576*20+N576*20+O576*20+P576*15)/5,1))</x:f>
      </x:c>
      <x:c r="R576" s="18" t="str"/>
      <x:c r="S576" s="18" t="str"/>
      <x:c r="T576" s="17" t="str"/>
      <x:c r="U576" s="19"/>
    </x:row>
    <x:row r="577">
      <x:c r="A577" s="17" t="str">
        <x:v>MTS-0576</x:v>
      </x:c>
      <x:c r="B577" s="17" t="str">
        <x:v>Device Replacement Readiness</x:v>
      </x:c>
      <x:c r="C577" s="17" t="str">
        <x:v>Device Diagnostics and Health</x:v>
      </x:c>
      <x:c r="D577" s="17" t="str">
        <x:v>Mobile + Desktop</x:v>
      </x:c>
      <x:c r="E577" s="17" t="str">
        <x:v>Phone and computer owners</x:v>
      </x:c>
      <x:c r="F577" s="18" t="str">
        <x:v>Device Replacement Readiness provides a focused device diagnostics and health workflow for phone and computer owners.</x:v>
      </x:c>
      <x:c r="G577" s="18" t="str">
        <x:v>Diagnostics, Sensors, Baselines, Trends</x:v>
      </x:c>
      <x:c r="H577" s="17" t="str">
        <x:v>Freemium + Pro</x:v>
      </x:c>
      <x:c r="I577" s="17" t="str">
        <x:v>Medium</x:v>
      </x:c>
      <x:c r="J577" s="17" t="str">
        <x:v>New candidate</x:v>
      </x:c>
      <x:c r="K577" s="17" t="str">
        <x:v>Unreviewed</x:v>
      </x:c>
      <x:c r="L577" s="17"/>
      <x:c r="M577" s="17"/>
      <x:c r="N577" s="17"/>
      <x:c r="O577" s="17"/>
      <x:c r="P577" s="17"/>
      <x:c r="Q577" s="17" t="str">
        <x:f>IF(COUNT(L577:P577)&lt;5,"",ROUND((L577*25+M577*20+N577*20+O577*20+P577*15)/5,1))</x:f>
      </x:c>
      <x:c r="R577" s="18" t="str"/>
      <x:c r="S577" s="18" t="str"/>
      <x:c r="T577" s="17" t="str"/>
      <x:c r="U577" s="19"/>
    </x:row>
    <x:row r="578">
      <x:c r="A578" s="17" t="str">
        <x:v>MTS-0577</x:v>
      </x:c>
      <x:c r="B578" s="17" t="str">
        <x:v>WooCommerce Margin Calculator</x:v>
      </x:c>
      <x:c r="C578" s="17" t="str">
        <x:v>WooCommerce</x:v>
      </x:c>
      <x:c r="D578" s="17" t="str">
        <x:v>WordPress Plugin</x:v>
      </x:c>
      <x:c r="E578" s="17" t="str">
        <x:v>WooCommerce stores</x:v>
      </x:c>
      <x:c r="F578" s="18" t="str">
        <x:v>WooCommerce Margin Calculator provides a focused woocommerce workflow for woocommerce stores.</x:v>
      </x:c>
      <x:c r="G578" s="18" t="str">
        <x:v>Commerce Audit, Inventory, Reports</x:v>
      </x:c>
      <x:c r="H578" s="17" t="str">
        <x:v>Annual Pro</x:v>
      </x:c>
      <x:c r="I578" s="17" t="str">
        <x:v>Medium</x:v>
      </x:c>
      <x:c r="J578" s="17" t="str">
        <x:v>New candidate</x:v>
      </x:c>
      <x:c r="K578" s="17" t="str">
        <x:v>Unreviewed</x:v>
      </x:c>
      <x:c r="L578" s="17"/>
      <x:c r="M578" s="17"/>
      <x:c r="N578" s="17"/>
      <x:c r="O578" s="17"/>
      <x:c r="P578" s="17"/>
      <x:c r="Q578" s="17" t="str">
        <x:f>IF(COUNT(L578:P578)&lt;5,"",ROUND((L578*25+M578*20+N578*20+O578*20+P578*15)/5,1))</x:f>
      </x:c>
      <x:c r="R578" s="18" t="str"/>
      <x:c r="S578" s="18" t="str"/>
      <x:c r="T578" s="17" t="str"/>
      <x:c r="U578" s="19"/>
    </x:row>
    <x:row r="579">
      <x:c r="A579" s="17" t="str">
        <x:v>MTS-0578</x:v>
      </x:c>
      <x:c r="B579" s="17" t="str">
        <x:v>Stale Inventory Reporter</x:v>
      </x:c>
      <x:c r="C579" s="17" t="str">
        <x:v>WooCommerce</x:v>
      </x:c>
      <x:c r="D579" s="17" t="str">
        <x:v>WordPress Plugin</x:v>
      </x:c>
      <x:c r="E579" s="17" t="str">
        <x:v>WooCommerce stores</x:v>
      </x:c>
      <x:c r="F579" s="18" t="str">
        <x:v>Stale Inventory Reporter provides a focused woocommerce workflow for woocommerce stores.</x:v>
      </x:c>
      <x:c r="G579" s="18" t="str">
        <x:v>Commerce Audit, Inventory, Reports</x:v>
      </x:c>
      <x:c r="H579" s="17" t="str">
        <x:v>Annual Pro</x:v>
      </x:c>
      <x:c r="I579" s="17" t="str">
        <x:v>Medium</x:v>
      </x:c>
      <x:c r="J579" s="17" t="str">
        <x:v>New candidate</x:v>
      </x:c>
      <x:c r="K579" s="17" t="str">
        <x:v>Unreviewed</x:v>
      </x:c>
      <x:c r="L579" s="17"/>
      <x:c r="M579" s="17"/>
      <x:c r="N579" s="17"/>
      <x:c r="O579" s="17"/>
      <x:c r="P579" s="17"/>
      <x:c r="Q579" s="17" t="str">
        <x:f>IF(COUNT(L579:P579)&lt;5,"",ROUND((L579*25+M579*20+N579*20+O579*20+P579*15)/5,1))</x:f>
      </x:c>
      <x:c r="R579" s="18" t="str"/>
      <x:c r="S579" s="18" t="str"/>
      <x:c r="T579" s="17" t="str"/>
      <x:c r="U579" s="19"/>
    </x:row>
    <x:row r="580">
      <x:c r="A580" s="17" t="str">
        <x:v>MTS-0579</x:v>
      </x:c>
      <x:c r="B580" s="17" t="str">
        <x:v>Low Stock Digest</x:v>
      </x:c>
      <x:c r="C580" s="17" t="str">
        <x:v>WooCommerce</x:v>
      </x:c>
      <x:c r="D580" s="17" t="str">
        <x:v>WordPress Plugin</x:v>
      </x:c>
      <x:c r="E580" s="17" t="str">
        <x:v>WooCommerce stores</x:v>
      </x:c>
      <x:c r="F580" s="18" t="str">
        <x:v>Low Stock Digest provides a focused woocommerce workflow for woocommerce stores.</x:v>
      </x:c>
      <x:c r="G580" s="18" t="str">
        <x:v>Commerce Audit, Inventory, Reports</x:v>
      </x:c>
      <x:c r="H580" s="17" t="str">
        <x:v>Annual Pro</x:v>
      </x:c>
      <x:c r="I580" s="17" t="str">
        <x:v>Medium</x:v>
      </x:c>
      <x:c r="J580" s="17" t="str">
        <x:v>New candidate</x:v>
      </x:c>
      <x:c r="K580" s="17" t="str">
        <x:v>Unreviewed</x:v>
      </x:c>
      <x:c r="L580" s="17"/>
      <x:c r="M580" s="17"/>
      <x:c r="N580" s="17"/>
      <x:c r="O580" s="17"/>
      <x:c r="P580" s="17"/>
      <x:c r="Q580" s="17" t="str">
        <x:f>IF(COUNT(L580:P580)&lt;5,"",ROUND((L580*25+M580*20+N580*20+O580*20+P580*15)/5,1))</x:f>
      </x:c>
      <x:c r="R580" s="18" t="str"/>
      <x:c r="S580" s="18" t="str"/>
      <x:c r="T580" s="17" t="str"/>
      <x:c r="U580" s="19"/>
    </x:row>
    <x:row r="581">
      <x:c r="A581" s="17" t="str">
        <x:v>MTS-0580</x:v>
      </x:c>
      <x:c r="B581" s="17" t="str">
        <x:v>Product Image Audit</x:v>
      </x:c>
      <x:c r="C581" s="17" t="str">
        <x:v>WooCommerce</x:v>
      </x:c>
      <x:c r="D581" s="17" t="str">
        <x:v>WordPress Plugin</x:v>
      </x:c>
      <x:c r="E581" s="17" t="str">
        <x:v>WooCommerce stores</x:v>
      </x:c>
      <x:c r="F581" s="18" t="str">
        <x:v>Product Image Audit provides a focused woocommerce workflow for woocommerce stores.</x:v>
      </x:c>
      <x:c r="G581" s="18" t="str">
        <x:v>Commerce Audit, Inventory, Reports</x:v>
      </x:c>
      <x:c r="H581" s="17" t="str">
        <x:v>Annual Pro</x:v>
      </x:c>
      <x:c r="I581" s="17" t="str">
        <x:v>Medium</x:v>
      </x:c>
      <x:c r="J581" s="17" t="str">
        <x:v>New candidate</x:v>
      </x:c>
      <x:c r="K581" s="17" t="str">
        <x:v>Unreviewed</x:v>
      </x:c>
      <x:c r="L581" s="17"/>
      <x:c r="M581" s="17"/>
      <x:c r="N581" s="17"/>
      <x:c r="O581" s="17"/>
      <x:c r="P581" s="17"/>
      <x:c r="Q581" s="17" t="str">
        <x:f>IF(COUNT(L581:P581)&lt;5,"",ROUND((L581*25+M581*20+N581*20+O581*20+P581*15)/5,1))</x:f>
      </x:c>
      <x:c r="R581" s="18" t="str"/>
      <x:c r="S581" s="18" t="str"/>
      <x:c r="T581" s="17" t="str"/>
      <x:c r="U581" s="19"/>
    </x:row>
    <x:row r="582">
      <x:c r="A582" s="17" t="str">
        <x:v>MTS-0581</x:v>
      </x:c>
      <x:c r="B582" s="17" t="str">
        <x:v>Shipping Rule Auditor</x:v>
      </x:c>
      <x:c r="C582" s="17" t="str">
        <x:v>WooCommerce</x:v>
      </x:c>
      <x:c r="D582" s="17" t="str">
        <x:v>WordPress Plugin</x:v>
      </x:c>
      <x:c r="E582" s="17" t="str">
        <x:v>WooCommerce stores</x:v>
      </x:c>
      <x:c r="F582" s="18" t="str">
        <x:v>Shipping Rule Auditor provides a focused woocommerce workflow for woocommerce stores.</x:v>
      </x:c>
      <x:c r="G582" s="18" t="str">
        <x:v>Commerce Audit, Inventory, Reports</x:v>
      </x:c>
      <x:c r="H582" s="17" t="str">
        <x:v>Annual Pro</x:v>
      </x:c>
      <x:c r="I582" s="17" t="str">
        <x:v>Medium</x:v>
      </x:c>
      <x:c r="J582" s="17" t="str">
        <x:v>New candidate</x:v>
      </x:c>
      <x:c r="K582" s="17" t="str">
        <x:v>Unreviewed</x:v>
      </x:c>
      <x:c r="L582" s="17"/>
      <x:c r="M582" s="17"/>
      <x:c r="N582" s="17"/>
      <x:c r="O582" s="17"/>
      <x:c r="P582" s="17"/>
      <x:c r="Q582" s="17" t="str">
        <x:f>IF(COUNT(L582:P582)&lt;5,"",ROUND((L582*25+M582*20+N582*20+O582*20+P582*15)/5,1))</x:f>
      </x:c>
      <x:c r="R582" s="18" t="str"/>
      <x:c r="S582" s="18" t="str"/>
      <x:c r="T582" s="17" t="str"/>
      <x:c r="U582" s="19"/>
    </x:row>
    <x:row r="583">
      <x:c r="A583" s="17" t="str">
        <x:v>MTS-0582</x:v>
      </x:c>
      <x:c r="B583" s="17" t="str">
        <x:v>Returns Request Portal</x:v>
      </x:c>
      <x:c r="C583" s="17" t="str">
        <x:v>WooCommerce</x:v>
      </x:c>
      <x:c r="D583" s="17" t="str">
        <x:v>WordPress Plugin</x:v>
      </x:c>
      <x:c r="E583" s="17" t="str">
        <x:v>WooCommerce stores</x:v>
      </x:c>
      <x:c r="F583" s="18" t="str">
        <x:v>Returns Request Portal provides a focused woocommerce workflow for woocommerce stores.</x:v>
      </x:c>
      <x:c r="G583" s="18" t="str">
        <x:v>Commerce Audit, Inventory, Reports</x:v>
      </x:c>
      <x:c r="H583" s="17" t="str">
        <x:v>Annual Pro</x:v>
      </x:c>
      <x:c r="I583" s="17" t="str">
        <x:v>Medium</x:v>
      </x:c>
      <x:c r="J583" s="17" t="str">
        <x:v>New candidate</x:v>
      </x:c>
      <x:c r="K583" s="17" t="str">
        <x:v>Unreviewed</x:v>
      </x:c>
      <x:c r="L583" s="17"/>
      <x:c r="M583" s="17"/>
      <x:c r="N583" s="17"/>
      <x:c r="O583" s="17"/>
      <x:c r="P583" s="17"/>
      <x:c r="Q583" s="17" t="str">
        <x:f>IF(COUNT(L583:P583)&lt;5,"",ROUND((L583*25+M583*20+N583*20+O583*20+P583*15)/5,1))</x:f>
      </x:c>
      <x:c r="R583" s="18" t="str"/>
      <x:c r="S583" s="18" t="str"/>
      <x:c r="T583" s="17" t="str"/>
      <x:c r="U583" s="19"/>
    </x:row>
    <x:row r="584">
      <x:c r="A584" s="17" t="str">
        <x:v>MTS-0583</x:v>
      </x:c>
      <x:c r="B584" s="17" t="str">
        <x:v>Product Data Cleanup</x:v>
      </x:c>
      <x:c r="C584" s="17" t="str">
        <x:v>WooCommerce</x:v>
      </x:c>
      <x:c r="D584" s="17" t="str">
        <x:v>WordPress Plugin</x:v>
      </x:c>
      <x:c r="E584" s="17" t="str">
        <x:v>WooCommerce stores</x:v>
      </x:c>
      <x:c r="F584" s="18" t="str">
        <x:v>Product Data Cleanup provides a focused woocommerce workflow for woocommerce stores.</x:v>
      </x:c>
      <x:c r="G584" s="18" t="str">
        <x:v>Commerce Audit, Inventory, Reports</x:v>
      </x:c>
      <x:c r="H584" s="17" t="str">
        <x:v>Annual Pro</x:v>
      </x:c>
      <x:c r="I584" s="17" t="str">
        <x:v>Medium</x:v>
      </x:c>
      <x:c r="J584" s="17" t="str">
        <x:v>New candidate</x:v>
      </x:c>
      <x:c r="K584" s="17" t="str">
        <x:v>Unreviewed</x:v>
      </x:c>
      <x:c r="L584" s="17"/>
      <x:c r="M584" s="17"/>
      <x:c r="N584" s="17"/>
      <x:c r="O584" s="17"/>
      <x:c r="P584" s="17"/>
      <x:c r="Q584" s="17" t="str">
        <x:f>IF(COUNT(L584:P584)&lt;5,"",ROUND((L584*25+M584*20+N584*20+O584*20+P584*15)/5,1))</x:f>
      </x:c>
      <x:c r="R584" s="18" t="str"/>
      <x:c r="S584" s="18" t="str"/>
      <x:c r="T584" s="17" t="str"/>
      <x:c r="U584" s="19"/>
    </x:row>
    <x:row r="585">
      <x:c r="A585" s="17" t="str">
        <x:v>MTS-0584</x:v>
      </x:c>
      <x:c r="B585" s="17" t="str">
        <x:v>Supplier Tracker for WooCommerce</x:v>
      </x:c>
      <x:c r="C585" s="17" t="str">
        <x:v>WooCommerce</x:v>
      </x:c>
      <x:c r="D585" s="17" t="str">
        <x:v>WordPress Plugin</x:v>
      </x:c>
      <x:c r="E585" s="17" t="str">
        <x:v>WooCommerce stores</x:v>
      </x:c>
      <x:c r="F585" s="18" t="str">
        <x:v>Supplier Tracker for WooCommerce provides a focused woocommerce workflow for woocommerce stores.</x:v>
      </x:c>
      <x:c r="G585" s="18" t="str">
        <x:v>Commerce Audit, Inventory, Reports</x:v>
      </x:c>
      <x:c r="H585" s="17" t="str">
        <x:v>Annual Pro</x:v>
      </x:c>
      <x:c r="I585" s="17" t="str">
        <x:v>Medium</x:v>
      </x:c>
      <x:c r="J585" s="17" t="str">
        <x:v>New candidate</x:v>
      </x:c>
      <x:c r="K585" s="17" t="str">
        <x:v>Unreviewed</x:v>
      </x:c>
      <x:c r="L585" s="17"/>
      <x:c r="M585" s="17"/>
      <x:c r="N585" s="17"/>
      <x:c r="O585" s="17"/>
      <x:c r="P585" s="17"/>
      <x:c r="Q585" s="17" t="str">
        <x:f>IF(COUNT(L585:P585)&lt;5,"",ROUND((L585*25+M585*20+N585*20+O585*20+P585*15)/5,1))</x:f>
      </x:c>
      <x:c r="R585" s="18" t="str"/>
      <x:c r="S585" s="18" t="str"/>
      <x:c r="T585" s="17" t="str"/>
      <x:c r="U585" s="19"/>
    </x:row>
    <x:row r="586">
      <x:c r="A586" s="17" t="str">
        <x:v>MTS-0585</x:v>
      </x:c>
      <x:c r="B586" s="17" t="str">
        <x:v>Bulk Price Update Planner</x:v>
      </x:c>
      <x:c r="C586" s="17" t="str">
        <x:v>WooCommerce</x:v>
      </x:c>
      <x:c r="D586" s="17" t="str">
        <x:v>WordPress Plugin</x:v>
      </x:c>
      <x:c r="E586" s="17" t="str">
        <x:v>WooCommerce stores</x:v>
      </x:c>
      <x:c r="F586" s="18" t="str">
        <x:v>Bulk Price Update Planner provides a focused woocommerce workflow for woocommerce stores.</x:v>
      </x:c>
      <x:c r="G586" s="18" t="str">
        <x:v>Commerce Audit, Inventory, Reports</x:v>
      </x:c>
      <x:c r="H586" s="17" t="str">
        <x:v>Annual Pro</x:v>
      </x:c>
      <x:c r="I586" s="17" t="str">
        <x:v>Medium</x:v>
      </x:c>
      <x:c r="J586" s="17" t="str">
        <x:v>New candidate</x:v>
      </x:c>
      <x:c r="K586" s="17" t="str">
        <x:v>Unreviewed</x:v>
      </x:c>
      <x:c r="L586" s="17"/>
      <x:c r="M586" s="17"/>
      <x:c r="N586" s="17"/>
      <x:c r="O586" s="17"/>
      <x:c r="P586" s="17"/>
      <x:c r="Q586" s="17" t="str">
        <x:f>IF(COUNT(L586:P586)&lt;5,"",ROUND((L586*25+M586*20+N586*20+O586*20+P586*15)/5,1))</x:f>
      </x:c>
      <x:c r="R586" s="18" t="str"/>
      <x:c r="S586" s="18" t="str"/>
      <x:c r="T586" s="17" t="str"/>
      <x:c r="U586" s="19"/>
    </x:row>
    <x:row r="587">
      <x:c r="A587" s="17" t="str">
        <x:v>MTS-0586</x:v>
      </x:c>
      <x:c r="B587" s="17" t="str">
        <x:v>Order Export Builder</x:v>
      </x:c>
      <x:c r="C587" s="17" t="str">
        <x:v>WooCommerce</x:v>
      </x:c>
      <x:c r="D587" s="17" t="str">
        <x:v>WordPress Plugin</x:v>
      </x:c>
      <x:c r="E587" s="17" t="str">
        <x:v>WooCommerce stores</x:v>
      </x:c>
      <x:c r="F587" s="18" t="str">
        <x:v>Order Export Builder provides a focused woocommerce workflow for woocommerce stores.</x:v>
      </x:c>
      <x:c r="G587" s="18" t="str">
        <x:v>Commerce Audit, Inventory, Reports</x:v>
      </x:c>
      <x:c r="H587" s="17" t="str">
        <x:v>Annual Pro</x:v>
      </x:c>
      <x:c r="I587" s="17" t="str">
        <x:v>Medium</x:v>
      </x:c>
      <x:c r="J587" s="17" t="str">
        <x:v>New candidate</x:v>
      </x:c>
      <x:c r="K587" s="17" t="str">
        <x:v>Unreviewed</x:v>
      </x:c>
      <x:c r="L587" s="17"/>
      <x:c r="M587" s="17"/>
      <x:c r="N587" s="17"/>
      <x:c r="O587" s="17"/>
      <x:c r="P587" s="17"/>
      <x:c r="Q587" s="17" t="str">
        <x:f>IF(COUNT(L587:P587)&lt;5,"",ROUND((L587*25+M587*20+N587*20+O587*20+P587*15)/5,1))</x:f>
      </x:c>
      <x:c r="R587" s="18" t="str"/>
      <x:c r="S587" s="18" t="str"/>
      <x:c r="T587" s="17" t="str"/>
      <x:c r="U587" s="19"/>
    </x:row>
    <x:row r="588">
      <x:c r="A588" s="17" t="str">
        <x:v>MTS-0587</x:v>
      </x:c>
      <x:c r="B588" s="17" t="str">
        <x:v>Fraud Review Checklist</x:v>
      </x:c>
      <x:c r="C588" s="17" t="str">
        <x:v>WooCommerce</x:v>
      </x:c>
      <x:c r="D588" s="17" t="str">
        <x:v>WordPress Plugin</x:v>
      </x:c>
      <x:c r="E588" s="17" t="str">
        <x:v>WooCommerce stores</x:v>
      </x:c>
      <x:c r="F588" s="18" t="str">
        <x:v>Fraud Review Checklist provides a focused woocommerce workflow for woocommerce stores.</x:v>
      </x:c>
      <x:c r="G588" s="18" t="str">
        <x:v>Commerce Audit, Inventory, Reports</x:v>
      </x:c>
      <x:c r="H588" s="17" t="str">
        <x:v>Annual Pro</x:v>
      </x:c>
      <x:c r="I588" s="17" t="str">
        <x:v>Medium</x:v>
      </x:c>
      <x:c r="J588" s="17" t="str">
        <x:v>New candidate</x:v>
      </x:c>
      <x:c r="K588" s="17" t="str">
        <x:v>Unreviewed</x:v>
      </x:c>
      <x:c r="L588" s="17"/>
      <x:c r="M588" s="17"/>
      <x:c r="N588" s="17"/>
      <x:c r="O588" s="17"/>
      <x:c r="P588" s="17"/>
      <x:c r="Q588" s="17" t="str">
        <x:f>IF(COUNT(L588:P588)&lt;5,"",ROUND((L588*25+M588*20+N588*20+O588*20+P588*15)/5,1))</x:f>
      </x:c>
      <x:c r="R588" s="18" t="str"/>
      <x:c r="S588" s="18" t="str"/>
      <x:c r="T588" s="17" t="str"/>
      <x:c r="U588" s="19"/>
    </x:row>
    <x:row r="589">
      <x:c r="A589" s="17" t="str">
        <x:v>MTS-0588</x:v>
      </x:c>
      <x:c r="B589" s="17" t="str">
        <x:v>Product Compliance Expiration</x:v>
      </x:c>
      <x:c r="C589" s="17" t="str">
        <x:v>WooCommerce</x:v>
      </x:c>
      <x:c r="D589" s="17" t="str">
        <x:v>WordPress Plugin</x:v>
      </x:c>
      <x:c r="E589" s="17" t="str">
        <x:v>WooCommerce stores</x:v>
      </x:c>
      <x:c r="F589" s="18" t="str">
        <x:v>Product Compliance Expiration provides a focused woocommerce workflow for woocommerce stores.</x:v>
      </x:c>
      <x:c r="G589" s="18" t="str">
        <x:v>Commerce Audit, Inventory, Reports</x:v>
      </x:c>
      <x:c r="H589" s="17" t="str">
        <x:v>Annual Pro</x:v>
      </x:c>
      <x:c r="I589" s="17" t="str">
        <x:v>Medium</x:v>
      </x:c>
      <x:c r="J589" s="17" t="str">
        <x:v>New candidate</x:v>
      </x:c>
      <x:c r="K589" s="17" t="str">
        <x:v>Unreviewed</x:v>
      </x:c>
      <x:c r="L589" s="17"/>
      <x:c r="M589" s="17"/>
      <x:c r="N589" s="17"/>
      <x:c r="O589" s="17"/>
      <x:c r="P589" s="17"/>
      <x:c r="Q589" s="17" t="str">
        <x:f>IF(COUNT(L589:P589)&lt;5,"",ROUND((L589*25+M589*20+N589*20+O589*20+P589*15)/5,1))</x:f>
      </x:c>
      <x:c r="R589" s="18" t="str"/>
      <x:c r="S589" s="18" t="str"/>
      <x:c r="T589" s="17" t="str"/>
      <x:c r="U589" s="19"/>
    </x:row>
    <x:row r="590">
      <x:c r="A590" s="17" t="str">
        <x:v>MTS-0589</x:v>
      </x:c>
      <x:c r="B590" s="17" t="str">
        <x:v>Opening Closing Checklist</x:v>
      </x:c>
      <x:c r="C590" s="17" t="str">
        <x:v>Restaurant and Food Service</x:v>
      </x:c>
      <x:c r="D590" s="17" t="str">
        <x:v>Mobile + SaaS</x:v>
      </x:c>
      <x:c r="E590" s="17" t="str">
        <x:v>Restaurants and food operators</x:v>
      </x:c>
      <x:c r="F590" s="18" t="str">
        <x:v>Opening Closing Checklist provides a focused restaurant and food service workflow for restaurants and food operators.</x:v>
      </x:c>
      <x:c r="G590" s="18" t="str">
        <x:v>Checklist, Inventory, Reports, Reminders</x:v>
      </x:c>
      <x:c r="H590" s="17" t="str">
        <x:v>Subscription</x:v>
      </x:c>
      <x:c r="I590" s="17" t="str">
        <x:v>Medium</x:v>
      </x:c>
      <x:c r="J590" s="17" t="str">
        <x:v>New candidate</x:v>
      </x:c>
      <x:c r="K590" s="17" t="str">
        <x:v>Unreviewed</x:v>
      </x:c>
      <x:c r="L590" s="17"/>
      <x:c r="M590" s="17"/>
      <x:c r="N590" s="17"/>
      <x:c r="O590" s="17"/>
      <x:c r="P590" s="17"/>
      <x:c r="Q590" s="17" t="str">
        <x:f>IF(COUNT(L590:P590)&lt;5,"",ROUND((L590*25+M590*20+N590*20+O590*20+P590*15)/5,1))</x:f>
      </x:c>
      <x:c r="R590" s="18" t="str"/>
      <x:c r="S590" s="18" t="str"/>
      <x:c r="T590" s="17" t="str"/>
      <x:c r="U590" s="19"/>
    </x:row>
    <x:row r="591">
      <x:c r="A591" s="17" t="str">
        <x:v>MTS-0590</x:v>
      </x:c>
      <x:c r="B591" s="17" t="str">
        <x:v>Kitchen Temperature Log</x:v>
      </x:c>
      <x:c r="C591" s="17" t="str">
        <x:v>Restaurant and Food Service</x:v>
      </x:c>
      <x:c r="D591" s="17" t="str">
        <x:v>Mobile + SaaS</x:v>
      </x:c>
      <x:c r="E591" s="17" t="str">
        <x:v>Restaurants and food operators</x:v>
      </x:c>
      <x:c r="F591" s="18" t="str">
        <x:v>Kitchen Temperature Log provides a focused restaurant and food service workflow for restaurants and food operators.</x:v>
      </x:c>
      <x:c r="G591" s="18" t="str">
        <x:v>Checklist, Inventory, Reports, Reminders</x:v>
      </x:c>
      <x:c r="H591" s="17" t="str">
        <x:v>Subscription</x:v>
      </x:c>
      <x:c r="I591" s="17" t="str">
        <x:v>Medium</x:v>
      </x:c>
      <x:c r="J591" s="17" t="str">
        <x:v>New candidate</x:v>
      </x:c>
      <x:c r="K591" s="17" t="str">
        <x:v>Unreviewed</x:v>
      </x:c>
      <x:c r="L591" s="17"/>
      <x:c r="M591" s="17"/>
      <x:c r="N591" s="17"/>
      <x:c r="O591" s="17"/>
      <x:c r="P591" s="17"/>
      <x:c r="Q591" s="17" t="str">
        <x:f>IF(COUNT(L591:P591)&lt;5,"",ROUND((L591*25+M591*20+N591*20+O591*20+P591*15)/5,1))</x:f>
      </x:c>
      <x:c r="R591" s="18" t="str"/>
      <x:c r="S591" s="18" t="str"/>
      <x:c r="T591" s="17" t="str"/>
      <x:c r="U591" s="19"/>
    </x:row>
    <x:row r="592">
      <x:c r="A592" s="17" t="str">
        <x:v>MTS-0591</x:v>
      </x:c>
      <x:c r="B592" s="17" t="str">
        <x:v>Food Waste Tracker</x:v>
      </x:c>
      <x:c r="C592" s="17" t="str">
        <x:v>Restaurant and Food Service</x:v>
      </x:c>
      <x:c r="D592" s="17" t="str">
        <x:v>Mobile + SaaS</x:v>
      </x:c>
      <x:c r="E592" s="17" t="str">
        <x:v>Restaurants and food operators</x:v>
      </x:c>
      <x:c r="F592" s="18" t="str">
        <x:v>Food Waste Tracker provides a focused restaurant and food service workflow for restaurants and food operators.</x:v>
      </x:c>
      <x:c r="G592" s="18" t="str">
        <x:v>Checklist, Inventory, Reports, Reminders</x:v>
      </x:c>
      <x:c r="H592" s="17" t="str">
        <x:v>Subscription</x:v>
      </x:c>
      <x:c r="I592" s="17" t="str">
        <x:v>Medium</x:v>
      </x:c>
      <x:c r="J592" s="17" t="str">
        <x:v>New candidate</x:v>
      </x:c>
      <x:c r="K592" s="17" t="str">
        <x:v>Unreviewed</x:v>
      </x:c>
      <x:c r="L592" s="17"/>
      <x:c r="M592" s="17"/>
      <x:c r="N592" s="17"/>
      <x:c r="O592" s="17"/>
      <x:c r="P592" s="17"/>
      <x:c r="Q592" s="17" t="str">
        <x:f>IF(COUNT(L592:P592)&lt;5,"",ROUND((L592*25+M592*20+N592*20+O592*20+P592*15)/5,1))</x:f>
      </x:c>
      <x:c r="R592" s="18" t="str"/>
      <x:c r="S592" s="18" t="str"/>
      <x:c r="T592" s="17" t="str"/>
      <x:c r="U592" s="19"/>
    </x:row>
    <x:row r="593">
      <x:c r="A593" s="17" t="str">
        <x:v>MTS-0592</x:v>
      </x:c>
      <x:c r="B593" s="17" t="str">
        <x:v>Prep Batch Planner</x:v>
      </x:c>
      <x:c r="C593" s="17" t="str">
        <x:v>Restaurant and Food Service</x:v>
      </x:c>
      <x:c r="D593" s="17" t="str">
        <x:v>Mobile + SaaS</x:v>
      </x:c>
      <x:c r="E593" s="17" t="str">
        <x:v>Restaurants and food operators</x:v>
      </x:c>
      <x:c r="F593" s="18" t="str">
        <x:v>Prep Batch Planner provides a focused restaurant and food service workflow for restaurants and food operators.</x:v>
      </x:c>
      <x:c r="G593" s="18" t="str">
        <x:v>Checklist, Inventory, Reports, Reminders</x:v>
      </x:c>
      <x:c r="H593" s="17" t="str">
        <x:v>Subscription</x:v>
      </x:c>
      <x:c r="I593" s="17" t="str">
        <x:v>Medium</x:v>
      </x:c>
      <x:c r="J593" s="17" t="str">
        <x:v>New candidate</x:v>
      </x:c>
      <x:c r="K593" s="17" t="str">
        <x:v>Unreviewed</x:v>
      </x:c>
      <x:c r="L593" s="17"/>
      <x:c r="M593" s="17"/>
      <x:c r="N593" s="17"/>
      <x:c r="O593" s="17"/>
      <x:c r="P593" s="17"/>
      <x:c r="Q593" s="17" t="str">
        <x:f>IF(COUNT(L593:P593)&lt;5,"",ROUND((L593*25+M593*20+N593*20+O593*20+P593*15)/5,1))</x:f>
      </x:c>
      <x:c r="R593" s="18" t="str"/>
      <x:c r="S593" s="18" t="str"/>
      <x:c r="T593" s="17" t="str"/>
      <x:c r="U593" s="19"/>
    </x:row>
    <x:row r="594">
      <x:c r="A594" s="17" t="str">
        <x:v>MTS-0593</x:v>
      </x:c>
      <x:c r="B594" s="17" t="str">
        <x:v>Restaurant Cleaning Audit</x:v>
      </x:c>
      <x:c r="C594" s="17" t="str">
        <x:v>Restaurant and Food Service</x:v>
      </x:c>
      <x:c r="D594" s="17" t="str">
        <x:v>Mobile + SaaS</x:v>
      </x:c>
      <x:c r="E594" s="17" t="str">
        <x:v>Restaurants and food operators</x:v>
      </x:c>
      <x:c r="F594" s="18" t="str">
        <x:v>Restaurant Cleaning Audit provides a focused restaurant and food service workflow for restaurants and food operators.</x:v>
      </x:c>
      <x:c r="G594" s="18" t="str">
        <x:v>Checklist, Inventory, Reports, Reminders</x:v>
      </x:c>
      <x:c r="H594" s="17" t="str">
        <x:v>Subscription</x:v>
      </x:c>
      <x:c r="I594" s="17" t="str">
        <x:v>Medium</x:v>
      </x:c>
      <x:c r="J594" s="17" t="str">
        <x:v>New candidate</x:v>
      </x:c>
      <x:c r="K594" s="17" t="str">
        <x:v>Unreviewed</x:v>
      </x:c>
      <x:c r="L594" s="17"/>
      <x:c r="M594" s="17"/>
      <x:c r="N594" s="17"/>
      <x:c r="O594" s="17"/>
      <x:c r="P594" s="17"/>
      <x:c r="Q594" s="17" t="str">
        <x:f>IF(COUNT(L594:P594)&lt;5,"",ROUND((L594*25+M594*20+N594*20+O594*20+P594*15)/5,1))</x:f>
      </x:c>
      <x:c r="R594" s="18" t="str"/>
      <x:c r="S594" s="18" t="str"/>
      <x:c r="T594" s="17" t="str"/>
      <x:c r="U594" s="19"/>
    </x:row>
    <x:row r="595">
      <x:c r="A595" s="17" t="str">
        <x:v>MTS-0594</x:v>
      </x:c>
      <x:c r="B595" s="17" t="str">
        <x:v>Vendor Delivery Inspection</x:v>
      </x:c>
      <x:c r="C595" s="17" t="str">
        <x:v>Restaurant and Food Service</x:v>
      </x:c>
      <x:c r="D595" s="17" t="str">
        <x:v>Mobile + SaaS</x:v>
      </x:c>
      <x:c r="E595" s="17" t="str">
        <x:v>Restaurants and food operators</x:v>
      </x:c>
      <x:c r="F595" s="18" t="str">
        <x:v>Vendor Delivery Inspection provides a focused restaurant and food service workflow for restaurants and food operators.</x:v>
      </x:c>
      <x:c r="G595" s="18" t="str">
        <x:v>Checklist, Inventory, Reports, Reminders</x:v>
      </x:c>
      <x:c r="H595" s="17" t="str">
        <x:v>Subscription</x:v>
      </x:c>
      <x:c r="I595" s="17" t="str">
        <x:v>Medium</x:v>
      </x:c>
      <x:c r="J595" s="17" t="str">
        <x:v>New candidate</x:v>
      </x:c>
      <x:c r="K595" s="17" t="str">
        <x:v>Unreviewed</x:v>
      </x:c>
      <x:c r="L595" s="17"/>
      <x:c r="M595" s="17"/>
      <x:c r="N595" s="17"/>
      <x:c r="O595" s="17"/>
      <x:c r="P595" s="17"/>
      <x:c r="Q595" s="17" t="str">
        <x:f>IF(COUNT(L595:P595)&lt;5,"",ROUND((L595*25+M595*20+N595*20+O595*20+P595*15)/5,1))</x:f>
      </x:c>
      <x:c r="R595" s="18" t="str"/>
      <x:c r="S595" s="18" t="str"/>
      <x:c r="T595" s="17" t="str"/>
      <x:c r="U595" s="19"/>
    </x:row>
    <x:row r="596">
      <x:c r="A596" s="17" t="str">
        <x:v>MTS-0595</x:v>
      </x:c>
      <x:c r="B596" s="17" t="str">
        <x:v>Menu Cost Calculator</x:v>
      </x:c>
      <x:c r="C596" s="17" t="str">
        <x:v>Restaurant and Food Service</x:v>
      </x:c>
      <x:c r="D596" s="17" t="str">
        <x:v>Mobile + SaaS</x:v>
      </x:c>
      <x:c r="E596" s="17" t="str">
        <x:v>Restaurants and food operators</x:v>
      </x:c>
      <x:c r="F596" s="18" t="str">
        <x:v>Menu Cost Calculator provides a focused restaurant and food service workflow for restaurants and food operators.</x:v>
      </x:c>
      <x:c r="G596" s="18" t="str">
        <x:v>Checklist, Inventory, Reports, Reminders</x:v>
      </x:c>
      <x:c r="H596" s="17" t="str">
        <x:v>Subscription</x:v>
      </x:c>
      <x:c r="I596" s="17" t="str">
        <x:v>Medium</x:v>
      </x:c>
      <x:c r="J596" s="17" t="str">
        <x:v>New candidate</x:v>
      </x:c>
      <x:c r="K596" s="17" t="str">
        <x:v>Unreviewed</x:v>
      </x:c>
      <x:c r="L596" s="17"/>
      <x:c r="M596" s="17"/>
      <x:c r="N596" s="17"/>
      <x:c r="O596" s="17"/>
      <x:c r="P596" s="17"/>
      <x:c r="Q596" s="17" t="str">
        <x:f>IF(COUNT(L596:P596)&lt;5,"",ROUND((L596*25+M596*20+N596*20+O596*20+P596*15)/5,1))</x:f>
      </x:c>
      <x:c r="R596" s="18" t="str"/>
      <x:c r="S596" s="18" t="str"/>
      <x:c r="T596" s="17" t="str"/>
      <x:c r="U596" s="19"/>
    </x:row>
    <x:row r="597">
      <x:c r="A597" s="17" t="str">
        <x:v>MTS-0596</x:v>
      </x:c>
      <x:c r="B597" s="17" t="str">
        <x:v>Food Truck Location Log</x:v>
      </x:c>
      <x:c r="C597" s="17" t="str">
        <x:v>Restaurant and Food Service</x:v>
      </x:c>
      <x:c r="D597" s="17" t="str">
        <x:v>Mobile + SaaS</x:v>
      </x:c>
      <x:c r="E597" s="17" t="str">
        <x:v>Restaurants and food operators</x:v>
      </x:c>
      <x:c r="F597" s="18" t="str">
        <x:v>Food Truck Location Log provides a focused restaurant and food service workflow for restaurants and food operators.</x:v>
      </x:c>
      <x:c r="G597" s="18" t="str">
        <x:v>Checklist, Inventory, Reports, Reminders</x:v>
      </x:c>
      <x:c r="H597" s="17" t="str">
        <x:v>Subscription</x:v>
      </x:c>
      <x:c r="I597" s="17" t="str">
        <x:v>Medium</x:v>
      </x:c>
      <x:c r="J597" s="17" t="str">
        <x:v>New candidate</x:v>
      </x:c>
      <x:c r="K597" s="17" t="str">
        <x:v>Unreviewed</x:v>
      </x:c>
      <x:c r="L597" s="17"/>
      <x:c r="M597" s="17"/>
      <x:c r="N597" s="17"/>
      <x:c r="O597" s="17"/>
      <x:c r="P597" s="17"/>
      <x:c r="Q597" s="17" t="str">
        <x:f>IF(COUNT(L597:P597)&lt;5,"",ROUND((L597*25+M597*20+N597*20+O597*20+P597*15)/5,1))</x:f>
      </x:c>
      <x:c r="R597" s="18" t="str"/>
      <x:c r="S597" s="18" t="str"/>
      <x:c r="T597" s="17" t="str"/>
      <x:c r="U597" s="19"/>
    </x:row>
    <x:row r="598">
      <x:c r="A598" s="17" t="str">
        <x:v>MTS-0597</x:v>
      </x:c>
      <x:c r="B598" s="17" t="str">
        <x:v>Allergen Procedure Checklist</x:v>
      </x:c>
      <x:c r="C598" s="17" t="str">
        <x:v>Restaurant and Food Service</x:v>
      </x:c>
      <x:c r="D598" s="17" t="str">
        <x:v>Mobile + SaaS</x:v>
      </x:c>
      <x:c r="E598" s="17" t="str">
        <x:v>Restaurants and food operators</x:v>
      </x:c>
      <x:c r="F598" s="18" t="str">
        <x:v>Allergen Procedure Checklist provides a focused restaurant and food service workflow for restaurants and food operators.</x:v>
      </x:c>
      <x:c r="G598" s="18" t="str">
        <x:v>Checklist, Inventory, Reports, Reminders</x:v>
      </x:c>
      <x:c r="H598" s="17" t="str">
        <x:v>Subscription</x:v>
      </x:c>
      <x:c r="I598" s="17" t="str">
        <x:v>Medium</x:v>
      </x:c>
      <x:c r="J598" s="17" t="str">
        <x:v>New candidate</x:v>
      </x:c>
      <x:c r="K598" s="17" t="str">
        <x:v>Unreviewed</x:v>
      </x:c>
      <x:c r="L598" s="17"/>
      <x:c r="M598" s="17"/>
      <x:c r="N598" s="17"/>
      <x:c r="O598" s="17"/>
      <x:c r="P598" s="17"/>
      <x:c r="Q598" s="17" t="str">
        <x:f>IF(COUNT(L598:P598)&lt;5,"",ROUND((L598*25+M598*20+N598*20+O598*20+P598*15)/5,1))</x:f>
      </x:c>
      <x:c r="R598" s="18" t="str"/>
      <x:c r="S598" s="18" t="str"/>
      <x:c r="T598" s="17" t="str"/>
      <x:c r="U598" s="19"/>
    </x:row>
    <x:row r="599">
      <x:c r="A599" s="17" t="str">
        <x:v>MTS-0598</x:v>
      </x:c>
      <x:c r="B599" s="17" t="str">
        <x:v>Grease Trap Service Tracker</x:v>
      </x:c>
      <x:c r="C599" s="17" t="str">
        <x:v>Restaurant and Food Service</x:v>
      </x:c>
      <x:c r="D599" s="17" t="str">
        <x:v>Mobile + SaaS</x:v>
      </x:c>
      <x:c r="E599" s="17" t="str">
        <x:v>Restaurants and food operators</x:v>
      </x:c>
      <x:c r="F599" s="18" t="str">
        <x:v>Grease Trap Service Tracker provides a focused restaurant and food service workflow for restaurants and food operators.</x:v>
      </x:c>
      <x:c r="G599" s="18" t="str">
        <x:v>Checklist, Inventory, Reports, Reminders</x:v>
      </x:c>
      <x:c r="H599" s="17" t="str">
        <x:v>Subscription</x:v>
      </x:c>
      <x:c r="I599" s="17" t="str">
        <x:v>Medium</x:v>
      </x:c>
      <x:c r="J599" s="17" t="str">
        <x:v>New candidate</x:v>
      </x:c>
      <x:c r="K599" s="17" t="str">
        <x:v>Unreviewed</x:v>
      </x:c>
      <x:c r="L599" s="17"/>
      <x:c r="M599" s="17"/>
      <x:c r="N599" s="17"/>
      <x:c r="O599" s="17"/>
      <x:c r="P599" s="17"/>
      <x:c r="Q599" s="17" t="str">
        <x:f>IF(COUNT(L599:P599)&lt;5,"",ROUND((L599*25+M599*20+N599*20+O599*20+P599*15)/5,1))</x:f>
      </x:c>
      <x:c r="R599" s="18" t="str"/>
      <x:c r="S599" s="18" t="str"/>
      <x:c r="T599" s="17" t="str"/>
      <x:c r="U599" s="19"/>
    </x:row>
    <x:row r="600">
      <x:c r="A600" s="17" t="str">
        <x:v>MTS-0599</x:v>
      </x:c>
      <x:c r="B600" s="17" t="str">
        <x:v>Equipment Downtime Log</x:v>
      </x:c>
      <x:c r="C600" s="17" t="str">
        <x:v>Restaurant and Food Service</x:v>
      </x:c>
      <x:c r="D600" s="17" t="str">
        <x:v>Mobile + SaaS</x:v>
      </x:c>
      <x:c r="E600" s="17" t="str">
        <x:v>Restaurants and food operators</x:v>
      </x:c>
      <x:c r="F600" s="18" t="str">
        <x:v>Equipment Downtime Log provides a focused restaurant and food service workflow for restaurants and food operators.</x:v>
      </x:c>
      <x:c r="G600" s="18" t="str">
        <x:v>Checklist, Inventory, Reports, Reminders</x:v>
      </x:c>
      <x:c r="H600" s="17" t="str">
        <x:v>Subscription</x:v>
      </x:c>
      <x:c r="I600" s="17" t="str">
        <x:v>Medium</x:v>
      </x:c>
      <x:c r="J600" s="17" t="str">
        <x:v>New candidate</x:v>
      </x:c>
      <x:c r="K600" s="17" t="str">
        <x:v>Unreviewed</x:v>
      </x:c>
      <x:c r="L600" s="17"/>
      <x:c r="M600" s="17"/>
      <x:c r="N600" s="17"/>
      <x:c r="O600" s="17"/>
      <x:c r="P600" s="17"/>
      <x:c r="Q600" s="17" t="str">
        <x:f>IF(COUNT(L600:P600)&lt;5,"",ROUND((L600*25+M600*20+N600*20+O600*20+P600*15)/5,1))</x:f>
      </x:c>
      <x:c r="R600" s="18" t="str"/>
      <x:c r="S600" s="18" t="str"/>
      <x:c r="T600" s="17" t="str"/>
      <x:c r="U600" s="19"/>
    </x:row>
    <x:row r="601">
      <x:c r="A601" s="17" t="str">
        <x:v>MTS-0600</x:v>
      </x:c>
      <x:c r="B601" s="17" t="str">
        <x:v>Health Inspection Readiness</x:v>
      </x:c>
      <x:c r="C601" s="17" t="str">
        <x:v>Restaurant and Food Service</x:v>
      </x:c>
      <x:c r="D601" s="17" t="str">
        <x:v>Mobile + SaaS</x:v>
      </x:c>
      <x:c r="E601" s="17" t="str">
        <x:v>Restaurants and food operators</x:v>
      </x:c>
      <x:c r="F601" s="18" t="str">
        <x:v>Health Inspection Readiness provides a focused restaurant and food service workflow for restaurants and food operators.</x:v>
      </x:c>
      <x:c r="G601" s="18" t="str">
        <x:v>Checklist, Inventory, Reports, Reminders</x:v>
      </x:c>
      <x:c r="H601" s="17" t="str">
        <x:v>Subscription</x:v>
      </x:c>
      <x:c r="I601" s="17" t="str">
        <x:v>Medium</x:v>
      </x:c>
      <x:c r="J601" s="17" t="str">
        <x:v>New candidate</x:v>
      </x:c>
      <x:c r="K601" s="17" t="str">
        <x:v>Unreviewed</x:v>
      </x:c>
      <x:c r="L601" s="17"/>
      <x:c r="M601" s="17"/>
      <x:c r="N601" s="17"/>
      <x:c r="O601" s="17"/>
      <x:c r="P601" s="17"/>
      <x:c r="Q601" s="17" t="str">
        <x:f>IF(COUNT(L601:P601)&lt;5,"",ROUND((L601*25+M601*20+N601*20+O601*20+P601*15)/5,1))</x:f>
      </x:c>
      <x:c r="R601" s="18" t="str"/>
      <x:c r="S601" s="18" t="str"/>
      <x:c r="T601" s="17" t="str"/>
      <x:c r="U601" s="19"/>
    </x:row>
    <x:row r="602">
      <x:c r="A602" s="17" t="str">
        <x:v>MTS-0601</x:v>
      </x:c>
      <x:c r="B602" s="17" t="str">
        <x:v>Residential Cleaning Checklist</x:v>
      </x:c>
      <x:c r="C602" s="17" t="str">
        <x:v>Cleaning and Janitorial</x:v>
      </x:c>
      <x:c r="D602" s="17" t="str">
        <x:v>Mobile + SaaS</x:v>
      </x:c>
      <x:c r="E602" s="17" t="str">
        <x:v>Cleaning companies</x:v>
      </x:c>
      <x:c r="F602" s="18" t="str">
        <x:v>Residential Cleaning Checklist provides a focused cleaning and janitorial workflow for cleaning companies.</x:v>
      </x:c>
      <x:c r="G602" s="18" t="str">
        <x:v>Scheduling, Checklist, Camera, Reports</x:v>
      </x:c>
      <x:c r="H602" s="17" t="str">
        <x:v>Subscription</x:v>
      </x:c>
      <x:c r="I602" s="17" t="str">
        <x:v>Medium</x:v>
      </x:c>
      <x:c r="J602" s="17" t="str">
        <x:v>New candidate</x:v>
      </x:c>
      <x:c r="K602" s="17" t="str">
        <x:v>Unreviewed</x:v>
      </x:c>
      <x:c r="L602" s="17"/>
      <x:c r="M602" s="17"/>
      <x:c r="N602" s="17"/>
      <x:c r="O602" s="17"/>
      <x:c r="P602" s="17"/>
      <x:c r="Q602" s="17" t="str">
        <x:f>IF(COUNT(L602:P602)&lt;5,"",ROUND((L602*25+M602*20+N602*20+O602*20+P602*15)/5,1))</x:f>
      </x:c>
      <x:c r="R602" s="18" t="str"/>
      <x:c r="S602" s="18" t="str"/>
      <x:c r="T602" s="17" t="str"/>
      <x:c r="U602" s="19"/>
    </x:row>
    <x:row r="603">
      <x:c r="A603" s="17" t="str">
        <x:v>MTS-0602</x:v>
      </x:c>
      <x:c r="B603" s="17" t="str">
        <x:v>Commercial Cleaning Route</x:v>
      </x:c>
      <x:c r="C603" s="17" t="str">
        <x:v>Cleaning and Janitorial</x:v>
      </x:c>
      <x:c r="D603" s="17" t="str">
        <x:v>Mobile + SaaS</x:v>
      </x:c>
      <x:c r="E603" s="17" t="str">
        <x:v>Cleaning companies</x:v>
      </x:c>
      <x:c r="F603" s="18" t="str">
        <x:v>Commercial Cleaning Route provides a focused cleaning and janitorial workflow for cleaning companies.</x:v>
      </x:c>
      <x:c r="G603" s="18" t="str">
        <x:v>Scheduling, Checklist, Camera, Reports</x:v>
      </x:c>
      <x:c r="H603" s="17" t="str">
        <x:v>Subscription</x:v>
      </x:c>
      <x:c r="I603" s="17" t="str">
        <x:v>Medium</x:v>
      </x:c>
      <x:c r="J603" s="17" t="str">
        <x:v>New candidate</x:v>
      </x:c>
      <x:c r="K603" s="17" t="str">
        <x:v>Unreviewed</x:v>
      </x:c>
      <x:c r="L603" s="17"/>
      <x:c r="M603" s="17"/>
      <x:c r="N603" s="17"/>
      <x:c r="O603" s="17"/>
      <x:c r="P603" s="17"/>
      <x:c r="Q603" s="17" t="str">
        <x:f>IF(COUNT(L603:P603)&lt;5,"",ROUND((L603*25+M603*20+N603*20+O603*20+P603*15)/5,1))</x:f>
      </x:c>
      <x:c r="R603" s="18" t="str"/>
      <x:c r="S603" s="18" t="str"/>
      <x:c r="T603" s="17" t="str"/>
      <x:c r="U603" s="19"/>
    </x:row>
    <x:row r="604">
      <x:c r="A604" s="17" t="str">
        <x:v>MTS-0603</x:v>
      </x:c>
      <x:c r="B604" s="17" t="str">
        <x:v>Move-Out Cleaning Reporter</x:v>
      </x:c>
      <x:c r="C604" s="17" t="str">
        <x:v>Cleaning and Janitorial</x:v>
      </x:c>
      <x:c r="D604" s="17" t="str">
        <x:v>Mobile + SaaS</x:v>
      </x:c>
      <x:c r="E604" s="17" t="str">
        <x:v>Cleaning companies</x:v>
      </x:c>
      <x:c r="F604" s="18" t="str">
        <x:v>Move-Out Cleaning Reporter provides a focused cleaning and janitorial workflow for cleaning companies.</x:v>
      </x:c>
      <x:c r="G604" s="18" t="str">
        <x:v>Scheduling, Checklist, Camera, Reports</x:v>
      </x:c>
      <x:c r="H604" s="17" t="str">
        <x:v>Subscription</x:v>
      </x:c>
      <x:c r="I604" s="17" t="str">
        <x:v>Medium</x:v>
      </x:c>
      <x:c r="J604" s="17" t="str">
        <x:v>New candidate</x:v>
      </x:c>
      <x:c r="K604" s="17" t="str">
        <x:v>Unreviewed</x:v>
      </x:c>
      <x:c r="L604" s="17"/>
      <x:c r="M604" s="17"/>
      <x:c r="N604" s="17"/>
      <x:c r="O604" s="17"/>
      <x:c r="P604" s="17"/>
      <x:c r="Q604" s="17" t="str">
        <x:f>IF(COUNT(L604:P604)&lt;5,"",ROUND((L604*25+M604*20+N604*20+O604*20+P604*15)/5,1))</x:f>
      </x:c>
      <x:c r="R604" s="18" t="str"/>
      <x:c r="S604" s="18" t="str"/>
      <x:c r="T604" s="17" t="str"/>
      <x:c r="U604" s="19"/>
    </x:row>
    <x:row r="605">
      <x:c r="A605" s="17" t="str">
        <x:v>MTS-0604</x:v>
      </x:c>
      <x:c r="B605" s="17" t="str">
        <x:v>Vacation Rental Cleaning QA</x:v>
      </x:c>
      <x:c r="C605" s="17" t="str">
        <x:v>Cleaning and Janitorial</x:v>
      </x:c>
      <x:c r="D605" s="17" t="str">
        <x:v>Mobile + SaaS</x:v>
      </x:c>
      <x:c r="E605" s="17" t="str">
        <x:v>Cleaning companies</x:v>
      </x:c>
      <x:c r="F605" s="18" t="str">
        <x:v>Vacation Rental Cleaning QA provides a focused cleaning and janitorial workflow for cleaning companies.</x:v>
      </x:c>
      <x:c r="G605" s="18" t="str">
        <x:v>Scheduling, Checklist, Camera, Reports</x:v>
      </x:c>
      <x:c r="H605" s="17" t="str">
        <x:v>Subscription</x:v>
      </x:c>
      <x:c r="I605" s="17" t="str">
        <x:v>Medium</x:v>
      </x:c>
      <x:c r="J605" s="17" t="str">
        <x:v>New candidate</x:v>
      </x:c>
      <x:c r="K605" s="17" t="str">
        <x:v>Unreviewed</x:v>
      </x:c>
      <x:c r="L605" s="17"/>
      <x:c r="M605" s="17"/>
      <x:c r="N605" s="17"/>
      <x:c r="O605" s="17"/>
      <x:c r="P605" s="17"/>
      <x:c r="Q605" s="17" t="str">
        <x:f>IF(COUNT(L605:P605)&lt;5,"",ROUND((L605*25+M605*20+N605*20+O605*20+P605*15)/5,1))</x:f>
      </x:c>
      <x:c r="R605" s="18" t="str"/>
      <x:c r="S605" s="18" t="str"/>
      <x:c r="T605" s="17" t="str"/>
      <x:c r="U605" s="19"/>
    </x:row>
    <x:row r="606">
      <x:c r="A606" s="17" t="str">
        <x:v>MTS-0605</x:v>
      </x:c>
      <x:c r="B606" s="17" t="str">
        <x:v>Carpet Cleaning Job Log</x:v>
      </x:c>
      <x:c r="C606" s="17" t="str">
        <x:v>Cleaning and Janitorial</x:v>
      </x:c>
      <x:c r="D606" s="17" t="str">
        <x:v>Mobile + SaaS</x:v>
      </x:c>
      <x:c r="E606" s="17" t="str">
        <x:v>Cleaning companies</x:v>
      </x:c>
      <x:c r="F606" s="18" t="str">
        <x:v>Carpet Cleaning Job Log provides a focused cleaning and janitorial workflow for cleaning companies.</x:v>
      </x:c>
      <x:c r="G606" s="18" t="str">
        <x:v>Scheduling, Checklist, Camera, Reports</x:v>
      </x:c>
      <x:c r="H606" s="17" t="str">
        <x:v>Subscription</x:v>
      </x:c>
      <x:c r="I606" s="17" t="str">
        <x:v>Medium</x:v>
      </x:c>
      <x:c r="J606" s="17" t="str">
        <x:v>New candidate</x:v>
      </x:c>
      <x:c r="K606" s="17" t="str">
        <x:v>Unreviewed</x:v>
      </x:c>
      <x:c r="L606" s="17"/>
      <x:c r="M606" s="17"/>
      <x:c r="N606" s="17"/>
      <x:c r="O606" s="17"/>
      <x:c r="P606" s="17"/>
      <x:c r="Q606" s="17" t="str">
        <x:f>IF(COUNT(L606:P606)&lt;5,"",ROUND((L606*25+M606*20+N606*20+O606*20+P606*15)/5,1))</x:f>
      </x:c>
      <x:c r="R606" s="18" t="str"/>
      <x:c r="S606" s="18" t="str"/>
      <x:c r="T606" s="17" t="str"/>
      <x:c r="U606" s="19"/>
    </x:row>
    <x:row r="607">
      <x:c r="A607" s="17" t="str">
        <x:v>MTS-0606</x:v>
      </x:c>
      <x:c r="B607" s="17" t="str">
        <x:v>Window Cleaning Estimator</x:v>
      </x:c>
      <x:c r="C607" s="17" t="str">
        <x:v>Cleaning and Janitorial</x:v>
      </x:c>
      <x:c r="D607" s="17" t="str">
        <x:v>Mobile + SaaS</x:v>
      </x:c>
      <x:c r="E607" s="17" t="str">
        <x:v>Cleaning companies</x:v>
      </x:c>
      <x:c r="F607" s="18" t="str">
        <x:v>Window Cleaning Estimator provides a focused cleaning and janitorial workflow for cleaning companies.</x:v>
      </x:c>
      <x:c r="G607" s="18" t="str">
        <x:v>Scheduling, Checklist, Camera, Reports</x:v>
      </x:c>
      <x:c r="H607" s="17" t="str">
        <x:v>Subscription</x:v>
      </x:c>
      <x:c r="I607" s="17" t="str">
        <x:v>Medium</x:v>
      </x:c>
      <x:c r="J607" s="17" t="str">
        <x:v>New candidate</x:v>
      </x:c>
      <x:c r="K607" s="17" t="str">
        <x:v>Unreviewed</x:v>
      </x:c>
      <x:c r="L607" s="17"/>
      <x:c r="M607" s="17"/>
      <x:c r="N607" s="17"/>
      <x:c r="O607" s="17"/>
      <x:c r="P607" s="17"/>
      <x:c r="Q607" s="17" t="str">
        <x:f>IF(COUNT(L607:P607)&lt;5,"",ROUND((L607*25+M607*20+N607*20+O607*20+P607*15)/5,1))</x:f>
      </x:c>
      <x:c r="R607" s="18" t="str"/>
      <x:c r="S607" s="18" t="str"/>
      <x:c r="T607" s="17" t="str"/>
      <x:c r="U607" s="19"/>
    </x:row>
    <x:row r="608">
      <x:c r="A608" s="17" t="str">
        <x:v>MTS-0607</x:v>
      </x:c>
      <x:c r="B608" s="17" t="str">
        <x:v>Pressure Washing Estimator</x:v>
      </x:c>
      <x:c r="C608" s="17" t="str">
        <x:v>Cleaning and Janitorial</x:v>
      </x:c>
      <x:c r="D608" s="17" t="str">
        <x:v>Mobile + SaaS</x:v>
      </x:c>
      <x:c r="E608" s="17" t="str">
        <x:v>Cleaning companies</x:v>
      </x:c>
      <x:c r="F608" s="18" t="str">
        <x:v>Pressure Washing Estimator provides a focused cleaning and janitorial workflow for cleaning companies.</x:v>
      </x:c>
      <x:c r="G608" s="18" t="str">
        <x:v>Scheduling, Checklist, Camera, Reports</x:v>
      </x:c>
      <x:c r="H608" s="17" t="str">
        <x:v>Subscription</x:v>
      </x:c>
      <x:c r="I608" s="17" t="str">
        <x:v>Medium</x:v>
      </x:c>
      <x:c r="J608" s="17" t="str">
        <x:v>New candidate</x:v>
      </x:c>
      <x:c r="K608" s="17" t="str">
        <x:v>Unreviewed</x:v>
      </x:c>
      <x:c r="L608" s="17"/>
      <x:c r="M608" s="17"/>
      <x:c r="N608" s="17"/>
      <x:c r="O608" s="17"/>
      <x:c r="P608" s="17"/>
      <x:c r="Q608" s="17" t="str">
        <x:f>IF(COUNT(L608:P608)&lt;5,"",ROUND((L608*25+M608*20+N608*20+O608*20+P608*15)/5,1))</x:f>
      </x:c>
      <x:c r="R608" s="18" t="str"/>
      <x:c r="S608" s="18" t="str"/>
      <x:c r="T608" s="17" t="str"/>
      <x:c r="U608" s="19"/>
    </x:row>
    <x:row r="609">
      <x:c r="A609" s="17" t="str">
        <x:v>MTS-0608</x:v>
      </x:c>
      <x:c r="B609" s="17" t="str">
        <x:v>Janitorial Supply Inventory</x:v>
      </x:c>
      <x:c r="C609" s="17" t="str">
        <x:v>Cleaning and Janitorial</x:v>
      </x:c>
      <x:c r="D609" s="17" t="str">
        <x:v>Mobile + SaaS</x:v>
      </x:c>
      <x:c r="E609" s="17" t="str">
        <x:v>Cleaning companies</x:v>
      </x:c>
      <x:c r="F609" s="18" t="str">
        <x:v>Janitorial Supply Inventory provides a focused cleaning and janitorial workflow for cleaning companies.</x:v>
      </x:c>
      <x:c r="G609" s="18" t="str">
        <x:v>Scheduling, Checklist, Camera, Reports</x:v>
      </x:c>
      <x:c r="H609" s="17" t="str">
        <x:v>Subscription</x:v>
      </x:c>
      <x:c r="I609" s="17" t="str">
        <x:v>Medium</x:v>
      </x:c>
      <x:c r="J609" s="17" t="str">
        <x:v>New candidate</x:v>
      </x:c>
      <x:c r="K609" s="17" t="str">
        <x:v>Unreviewed</x:v>
      </x:c>
      <x:c r="L609" s="17"/>
      <x:c r="M609" s="17"/>
      <x:c r="N609" s="17"/>
      <x:c r="O609" s="17"/>
      <x:c r="P609" s="17"/>
      <x:c r="Q609" s="17" t="str">
        <x:f>IF(COUNT(L609:P609)&lt;5,"",ROUND((L609*25+M609*20+N609*20+O609*20+P609*15)/5,1))</x:f>
      </x:c>
      <x:c r="R609" s="18" t="str"/>
      <x:c r="S609" s="18" t="str"/>
      <x:c r="T609" s="17" t="str"/>
      <x:c r="U609" s="19"/>
    </x:row>
    <x:row r="610">
      <x:c r="A610" s="17" t="str">
        <x:v>MTS-0609</x:v>
      </x:c>
      <x:c r="B610" s="17" t="str">
        <x:v>Cleaner Time and Mileage</x:v>
      </x:c>
      <x:c r="C610" s="17" t="str">
        <x:v>Cleaning and Janitorial</x:v>
      </x:c>
      <x:c r="D610" s="17" t="str">
        <x:v>Mobile + SaaS</x:v>
      </x:c>
      <x:c r="E610" s="17" t="str">
        <x:v>Cleaning companies</x:v>
      </x:c>
      <x:c r="F610" s="18" t="str">
        <x:v>Cleaner Time and Mileage provides a focused cleaning and janitorial workflow for cleaning companies.</x:v>
      </x:c>
      <x:c r="G610" s="18" t="str">
        <x:v>Scheduling, Checklist, Camera, Reports</x:v>
      </x:c>
      <x:c r="H610" s="17" t="str">
        <x:v>Subscription</x:v>
      </x:c>
      <x:c r="I610" s="17" t="str">
        <x:v>Medium</x:v>
      </x:c>
      <x:c r="J610" s="17" t="str">
        <x:v>New candidate</x:v>
      </x:c>
      <x:c r="K610" s="17" t="str">
        <x:v>Unreviewed</x:v>
      </x:c>
      <x:c r="L610" s="17"/>
      <x:c r="M610" s="17"/>
      <x:c r="N610" s="17"/>
      <x:c r="O610" s="17"/>
      <x:c r="P610" s="17"/>
      <x:c r="Q610" s="17" t="str">
        <x:f>IF(COUNT(L610:P610)&lt;5,"",ROUND((L610*25+M610*20+N610*20+O610*20+P610*15)/5,1))</x:f>
      </x:c>
      <x:c r="R610" s="18" t="str"/>
      <x:c r="S610" s="18" t="str"/>
      <x:c r="T610" s="17" t="str"/>
      <x:c r="U610" s="19"/>
    </x:row>
    <x:row r="611">
      <x:c r="A611" s="17" t="str">
        <x:v>MTS-0610</x:v>
      </x:c>
      <x:c r="B611" s="17" t="str">
        <x:v>Before After Cleaning Proof</x:v>
      </x:c>
      <x:c r="C611" s="17" t="str">
        <x:v>Cleaning and Janitorial</x:v>
      </x:c>
      <x:c r="D611" s="17" t="str">
        <x:v>Mobile + SaaS</x:v>
      </x:c>
      <x:c r="E611" s="17" t="str">
        <x:v>Cleaning companies</x:v>
      </x:c>
      <x:c r="F611" s="18" t="str">
        <x:v>Before After Cleaning Proof provides a focused cleaning and janitorial workflow for cleaning companies.</x:v>
      </x:c>
      <x:c r="G611" s="18" t="str">
        <x:v>Scheduling, Checklist, Camera, Reports</x:v>
      </x:c>
      <x:c r="H611" s="17" t="str">
        <x:v>Subscription</x:v>
      </x:c>
      <x:c r="I611" s="17" t="str">
        <x:v>Medium</x:v>
      </x:c>
      <x:c r="J611" s="17" t="str">
        <x:v>New candidate</x:v>
      </x:c>
      <x:c r="K611" s="17" t="str">
        <x:v>Unreviewed</x:v>
      </x:c>
      <x:c r="L611" s="17"/>
      <x:c r="M611" s="17"/>
      <x:c r="N611" s="17"/>
      <x:c r="O611" s="17"/>
      <x:c r="P611" s="17"/>
      <x:c r="Q611" s="17" t="str">
        <x:f>IF(COUNT(L611:P611)&lt;5,"",ROUND((L611*25+M611*20+N611*20+O611*20+P611*15)/5,1))</x:f>
      </x:c>
      <x:c r="R611" s="18" t="str"/>
      <x:c r="S611" s="18" t="str"/>
      <x:c r="T611" s="17" t="str"/>
      <x:c r="U611" s="19"/>
    </x:row>
    <x:row r="612">
      <x:c r="A612" s="17" t="str">
        <x:v>MTS-0611</x:v>
      </x:c>
      <x:c r="B612" s="17" t="str">
        <x:v>Cleaning Issue Escalation</x:v>
      </x:c>
      <x:c r="C612" s="17" t="str">
        <x:v>Cleaning and Janitorial</x:v>
      </x:c>
      <x:c r="D612" s="17" t="str">
        <x:v>Mobile + SaaS</x:v>
      </x:c>
      <x:c r="E612" s="17" t="str">
        <x:v>Cleaning companies</x:v>
      </x:c>
      <x:c r="F612" s="18" t="str">
        <x:v>Cleaning Issue Escalation provides a focused cleaning and janitorial workflow for cleaning companies.</x:v>
      </x:c>
      <x:c r="G612" s="18" t="str">
        <x:v>Scheduling, Checklist, Camera, Reports</x:v>
      </x:c>
      <x:c r="H612" s="17" t="str">
        <x:v>Subscription</x:v>
      </x:c>
      <x:c r="I612" s="17" t="str">
        <x:v>Medium</x:v>
      </x:c>
      <x:c r="J612" s="17" t="str">
        <x:v>New candidate</x:v>
      </x:c>
      <x:c r="K612" s="17" t="str">
        <x:v>Unreviewed</x:v>
      </x:c>
      <x:c r="L612" s="17"/>
      <x:c r="M612" s="17"/>
      <x:c r="N612" s="17"/>
      <x:c r="O612" s="17"/>
      <x:c r="P612" s="17"/>
      <x:c r="Q612" s="17" t="str">
        <x:f>IF(COUNT(L612:P612)&lt;5,"",ROUND((L612*25+M612*20+N612*20+O612*20+P612*15)/5,1))</x:f>
      </x:c>
      <x:c r="R612" s="18" t="str"/>
      <x:c r="S612" s="18" t="str"/>
      <x:c r="T612" s="17" t="str"/>
      <x:c r="U612" s="19"/>
    </x:row>
    <x:row r="613">
      <x:c r="A613" s="17" t="str">
        <x:v>MTS-0612</x:v>
      </x:c>
      <x:c r="B613" s="17" t="str">
        <x:v>Recurring Cleaning Scheduler</x:v>
      </x:c>
      <x:c r="C613" s="17" t="str">
        <x:v>Cleaning and Janitorial</x:v>
      </x:c>
      <x:c r="D613" s="17" t="str">
        <x:v>Mobile + SaaS</x:v>
      </x:c>
      <x:c r="E613" s="17" t="str">
        <x:v>Cleaning companies</x:v>
      </x:c>
      <x:c r="F613" s="18" t="str">
        <x:v>Recurring Cleaning Scheduler provides a focused cleaning and janitorial workflow for cleaning companies.</x:v>
      </x:c>
      <x:c r="G613" s="18" t="str">
        <x:v>Scheduling, Checklist, Camera, Reports</x:v>
      </x:c>
      <x:c r="H613" s="17" t="str">
        <x:v>Subscription</x:v>
      </x:c>
      <x:c r="I613" s="17" t="str">
        <x:v>Medium</x:v>
      </x:c>
      <x:c r="J613" s="17" t="str">
        <x:v>New candidate</x:v>
      </x:c>
      <x:c r="K613" s="17" t="str">
        <x:v>Unreviewed</x:v>
      </x:c>
      <x:c r="L613" s="17"/>
      <x:c r="M613" s="17"/>
      <x:c r="N613" s="17"/>
      <x:c r="O613" s="17"/>
      <x:c r="P613" s="17"/>
      <x:c r="Q613" s="17" t="str">
        <x:f>IF(COUNT(L613:P613)&lt;5,"",ROUND((L613*25+M613*20+N613*20+O613*20+P613*15)/5,1))</x:f>
      </x:c>
      <x:c r="R613" s="18" t="str"/>
      <x:c r="S613" s="18" t="str"/>
      <x:c r="T613" s="17" t="str"/>
      <x:c r="U613" s="19"/>
    </x:row>
    <x:row r="614">
      <x:c r="A614" s="17" t="str">
        <x:v>MTS-0613</x:v>
      </x:c>
      <x:c r="B614" s="17" t="str">
        <x:v>Lawn Area Estimator</x:v>
      </x:c>
      <x:c r="C614" s="17" t="str">
        <x:v>Landscaping and Tree Care</x:v>
      </x:c>
      <x:c r="D614" s="17" t="str">
        <x:v>Mobile App</x:v>
      </x:c>
      <x:c r="E614" s="17" t="str">
        <x:v>Landscapers and property owners</x:v>
      </x:c>
      <x:c r="F614" s="18" t="str">
        <x:v>Lawn Area Estimator provides a focused landscaping and tree care workflow for landscapers and property owners.</x:v>
      </x:c>
      <x:c r="G614" s="18" t="str">
        <x:v>Estimator, Camera, Scheduling, Reports</x:v>
      </x:c>
      <x:c r="H614" s="17" t="str">
        <x:v>Paid + Pro</x:v>
      </x:c>
      <x:c r="I614" s="17" t="str">
        <x:v>Medium</x:v>
      </x:c>
      <x:c r="J614" s="17" t="str">
        <x:v>New candidate</x:v>
      </x:c>
      <x:c r="K614" s="17" t="str">
        <x:v>Unreviewed</x:v>
      </x:c>
      <x:c r="L614" s="17"/>
      <x:c r="M614" s="17"/>
      <x:c r="N614" s="17"/>
      <x:c r="O614" s="17"/>
      <x:c r="P614" s="17"/>
      <x:c r="Q614" s="17" t="str">
        <x:f>IF(COUNT(L614:P614)&lt;5,"",ROUND((L614*25+M614*20+N614*20+O614*20+P614*15)/5,1))</x:f>
      </x:c>
      <x:c r="R614" s="18" t="str"/>
      <x:c r="S614" s="18" t="str"/>
      <x:c r="T614" s="17" t="str"/>
      <x:c r="U614" s="19"/>
    </x:row>
    <x:row r="615">
      <x:c r="A615" s="17" t="str">
        <x:v>MTS-0614</x:v>
      </x:c>
      <x:c r="B615" s="17" t="str">
        <x:v>Irrigation Zone Mapper</x:v>
      </x:c>
      <x:c r="C615" s="17" t="str">
        <x:v>Landscaping and Tree Care</x:v>
      </x:c>
      <x:c r="D615" s="17" t="str">
        <x:v>Mobile App</x:v>
      </x:c>
      <x:c r="E615" s="17" t="str">
        <x:v>Landscapers and property owners</x:v>
      </x:c>
      <x:c r="F615" s="18" t="str">
        <x:v>Irrigation Zone Mapper provides a focused landscaping and tree care workflow for landscapers and property owners.</x:v>
      </x:c>
      <x:c r="G615" s="18" t="str">
        <x:v>Estimator, Camera, Scheduling, Reports</x:v>
      </x:c>
      <x:c r="H615" s="17" t="str">
        <x:v>Paid + Pro</x:v>
      </x:c>
      <x:c r="I615" s="17" t="str">
        <x:v>Medium</x:v>
      </x:c>
      <x:c r="J615" s="17" t="str">
        <x:v>New candidate</x:v>
      </x:c>
      <x:c r="K615" s="17" t="str">
        <x:v>Unreviewed</x:v>
      </x:c>
      <x:c r="L615" s="17"/>
      <x:c r="M615" s="17"/>
      <x:c r="N615" s="17"/>
      <x:c r="O615" s="17"/>
      <x:c r="P615" s="17"/>
      <x:c r="Q615" s="17" t="str">
        <x:f>IF(COUNT(L615:P615)&lt;5,"",ROUND((L615*25+M615*20+N615*20+O615*20+P615*15)/5,1))</x:f>
      </x:c>
      <x:c r="R615" s="18" t="str"/>
      <x:c r="S615" s="18" t="str"/>
      <x:c r="T615" s="17" t="str"/>
      <x:c r="U615" s="19"/>
    </x:row>
    <x:row r="616">
      <x:c r="A616" s="17" t="str">
        <x:v>MTS-0615</x:v>
      </x:c>
      <x:c r="B616" s="17" t="str">
        <x:v>Tree Service Job Planner</x:v>
      </x:c>
      <x:c r="C616" s="17" t="str">
        <x:v>Landscaping and Tree Care</x:v>
      </x:c>
      <x:c r="D616" s="17" t="str">
        <x:v>Mobile App</x:v>
      </x:c>
      <x:c r="E616" s="17" t="str">
        <x:v>Landscapers and property owners</x:v>
      </x:c>
      <x:c r="F616" s="18" t="str">
        <x:v>Tree Service Job Planner provides a focused landscaping and tree care workflow for landscapers and property owners.</x:v>
      </x:c>
      <x:c r="G616" s="18" t="str">
        <x:v>Estimator, Camera, Scheduling, Reports</x:v>
      </x:c>
      <x:c r="H616" s="17" t="str">
        <x:v>Paid + Pro</x:v>
      </x:c>
      <x:c r="I616" s="17" t="str">
        <x:v>Medium</x:v>
      </x:c>
      <x:c r="J616" s="17" t="str">
        <x:v>New candidate</x:v>
      </x:c>
      <x:c r="K616" s="17" t="str">
        <x:v>Unreviewed</x:v>
      </x:c>
      <x:c r="L616" s="17"/>
      <x:c r="M616" s="17"/>
      <x:c r="N616" s="17"/>
      <x:c r="O616" s="17"/>
      <x:c r="P616" s="17"/>
      <x:c r="Q616" s="17" t="str">
        <x:f>IF(COUNT(L616:P616)&lt;5,"",ROUND((L616*25+M616*20+N616*20+O616*20+P616*15)/5,1))</x:f>
      </x:c>
      <x:c r="R616" s="18" t="str"/>
      <x:c r="S616" s="18" t="str"/>
      <x:c r="T616" s="17" t="str"/>
      <x:c r="U616" s="19"/>
    </x:row>
    <x:row r="617">
      <x:c r="A617" s="17" t="str">
        <x:v>MTS-0616</x:v>
      </x:c>
      <x:c r="B617" s="17" t="str">
        <x:v>Planting Spacing Calculator</x:v>
      </x:c>
      <x:c r="C617" s="17" t="str">
        <x:v>Landscaping and Tree Care</x:v>
      </x:c>
      <x:c r="D617" s="17" t="str">
        <x:v>Mobile App</x:v>
      </x:c>
      <x:c r="E617" s="17" t="str">
        <x:v>Landscapers and property owners</x:v>
      </x:c>
      <x:c r="F617" s="18" t="str">
        <x:v>Planting Spacing Calculator provides a focused landscaping and tree care workflow for landscapers and property owners.</x:v>
      </x:c>
      <x:c r="G617" s="18" t="str">
        <x:v>Estimator, Camera, Scheduling, Reports</x:v>
      </x:c>
      <x:c r="H617" s="17" t="str">
        <x:v>Paid + Pro</x:v>
      </x:c>
      <x:c r="I617" s="17" t="str">
        <x:v>Medium</x:v>
      </x:c>
      <x:c r="J617" s="17" t="str">
        <x:v>New candidate</x:v>
      </x:c>
      <x:c r="K617" s="17" t="str">
        <x:v>Unreviewed</x:v>
      </x:c>
      <x:c r="L617" s="17"/>
      <x:c r="M617" s="17"/>
      <x:c r="N617" s="17"/>
      <x:c r="O617" s="17"/>
      <x:c r="P617" s="17"/>
      <x:c r="Q617" s="17" t="str">
        <x:f>IF(COUNT(L617:P617)&lt;5,"",ROUND((L617*25+M617*20+N617*20+O617*20+P617*15)/5,1))</x:f>
      </x:c>
      <x:c r="R617" s="18" t="str"/>
      <x:c r="S617" s="18" t="str"/>
      <x:c r="T617" s="17" t="str"/>
      <x:c r="U617" s="19"/>
    </x:row>
    <x:row r="618">
      <x:c r="A618" s="17" t="str">
        <x:v>MTS-0617</x:v>
      </x:c>
      <x:c r="B618" s="17" t="str">
        <x:v>Landscape Material Planner</x:v>
      </x:c>
      <x:c r="C618" s="17" t="str">
        <x:v>Landscaping and Tree Care</x:v>
      </x:c>
      <x:c r="D618" s="17" t="str">
        <x:v>Mobile App</x:v>
      </x:c>
      <x:c r="E618" s="17" t="str">
        <x:v>Landscapers and property owners</x:v>
      </x:c>
      <x:c r="F618" s="18" t="str">
        <x:v>Landscape Material Planner provides a focused landscaping and tree care workflow for landscapers and property owners.</x:v>
      </x:c>
      <x:c r="G618" s="18" t="str">
        <x:v>Estimator, Camera, Scheduling, Reports</x:v>
      </x:c>
      <x:c r="H618" s="17" t="str">
        <x:v>Paid + Pro</x:v>
      </x:c>
      <x:c r="I618" s="17" t="str">
        <x:v>Medium</x:v>
      </x:c>
      <x:c r="J618" s="17" t="str">
        <x:v>New candidate</x:v>
      </x:c>
      <x:c r="K618" s="17" t="str">
        <x:v>Unreviewed</x:v>
      </x:c>
      <x:c r="L618" s="17"/>
      <x:c r="M618" s="17"/>
      <x:c r="N618" s="17"/>
      <x:c r="O618" s="17"/>
      <x:c r="P618" s="17"/>
      <x:c r="Q618" s="17" t="str">
        <x:f>IF(COUNT(L618:P618)&lt;5,"",ROUND((L618*25+M618*20+N618*20+O618*20+P618*15)/5,1))</x:f>
      </x:c>
      <x:c r="R618" s="18" t="str"/>
      <x:c r="S618" s="18" t="str"/>
      <x:c r="T618" s="17" t="str"/>
      <x:c r="U618" s="19"/>
    </x:row>
    <x:row r="619">
      <x:c r="A619" s="17" t="str">
        <x:v>MTS-0618</x:v>
      </x:c>
      <x:c r="B619" s="17" t="str">
        <x:v>Seasonal Yard Checklist</x:v>
      </x:c>
      <x:c r="C619" s="17" t="str">
        <x:v>Landscaping and Tree Care</x:v>
      </x:c>
      <x:c r="D619" s="17" t="str">
        <x:v>Mobile App</x:v>
      </x:c>
      <x:c r="E619" s="17" t="str">
        <x:v>Landscapers and property owners</x:v>
      </x:c>
      <x:c r="F619" s="18" t="str">
        <x:v>Seasonal Yard Checklist provides a focused landscaping and tree care workflow for landscapers and property owners.</x:v>
      </x:c>
      <x:c r="G619" s="18" t="str">
        <x:v>Estimator, Camera, Scheduling, Reports</x:v>
      </x:c>
      <x:c r="H619" s="17" t="str">
        <x:v>Paid + Pro</x:v>
      </x:c>
      <x:c r="I619" s="17" t="str">
        <x:v>Medium</x:v>
      </x:c>
      <x:c r="J619" s="17" t="str">
        <x:v>New candidate</x:v>
      </x:c>
      <x:c r="K619" s="17" t="str">
        <x:v>Unreviewed</x:v>
      </x:c>
      <x:c r="L619" s="17"/>
      <x:c r="M619" s="17"/>
      <x:c r="N619" s="17"/>
      <x:c r="O619" s="17"/>
      <x:c r="P619" s="17"/>
      <x:c r="Q619" s="17" t="str">
        <x:f>IF(COUNT(L619:P619)&lt;5,"",ROUND((L619*25+M619*20+N619*20+O619*20+P619*15)/5,1))</x:f>
      </x:c>
      <x:c r="R619" s="18" t="str"/>
      <x:c r="S619" s="18" t="str"/>
      <x:c r="T619" s="17" t="str"/>
      <x:c r="U619" s="19"/>
    </x:row>
    <x:row r="620">
      <x:c r="A620" s="17" t="str">
        <x:v>MTS-0619</x:v>
      </x:c>
      <x:c r="B620" s="17" t="str">
        <x:v>Sprinkler Inspection Log</x:v>
      </x:c>
      <x:c r="C620" s="17" t="str">
        <x:v>Landscaping and Tree Care</x:v>
      </x:c>
      <x:c r="D620" s="17" t="str">
        <x:v>Mobile App</x:v>
      </x:c>
      <x:c r="E620" s="17" t="str">
        <x:v>Landscapers and property owners</x:v>
      </x:c>
      <x:c r="F620" s="18" t="str">
        <x:v>Sprinkler Inspection Log provides a focused landscaping and tree care workflow for landscapers and property owners.</x:v>
      </x:c>
      <x:c r="G620" s="18" t="str">
        <x:v>Estimator, Camera, Scheduling, Reports</x:v>
      </x:c>
      <x:c r="H620" s="17" t="str">
        <x:v>Paid + Pro</x:v>
      </x:c>
      <x:c r="I620" s="17" t="str">
        <x:v>Medium</x:v>
      </x:c>
      <x:c r="J620" s="17" t="str">
        <x:v>New candidate</x:v>
      </x:c>
      <x:c r="K620" s="17" t="str">
        <x:v>Unreviewed</x:v>
      </x:c>
      <x:c r="L620" s="17"/>
      <x:c r="M620" s="17"/>
      <x:c r="N620" s="17"/>
      <x:c r="O620" s="17"/>
      <x:c r="P620" s="17"/>
      <x:c r="Q620" s="17" t="str">
        <x:f>IF(COUNT(L620:P620)&lt;5,"",ROUND((L620*25+M620*20+N620*20+O620*20+P620*15)/5,1))</x:f>
      </x:c>
      <x:c r="R620" s="18" t="str"/>
      <x:c r="S620" s="18" t="str"/>
      <x:c r="T620" s="17" t="str"/>
      <x:c r="U620" s="19"/>
    </x:row>
    <x:row r="621">
      <x:c r="A621" s="17" t="str">
        <x:v>MTS-0620</x:v>
      </x:c>
      <x:c r="B621" s="17" t="str">
        <x:v>Tree Watering Tracker</x:v>
      </x:c>
      <x:c r="C621" s="17" t="str">
        <x:v>Landscaping and Tree Care</x:v>
      </x:c>
      <x:c r="D621" s="17" t="str">
        <x:v>Mobile App</x:v>
      </x:c>
      <x:c r="E621" s="17" t="str">
        <x:v>Landscapers and property owners</x:v>
      </x:c>
      <x:c r="F621" s="18" t="str">
        <x:v>Tree Watering Tracker provides a focused landscaping and tree care workflow for landscapers and property owners.</x:v>
      </x:c>
      <x:c r="G621" s="18" t="str">
        <x:v>Estimator, Camera, Scheduling, Reports</x:v>
      </x:c>
      <x:c r="H621" s="17" t="str">
        <x:v>Paid + Pro</x:v>
      </x:c>
      <x:c r="I621" s="17" t="str">
        <x:v>Medium</x:v>
      </x:c>
      <x:c r="J621" s="17" t="str">
        <x:v>New candidate</x:v>
      </x:c>
      <x:c r="K621" s="17" t="str">
        <x:v>Unreviewed</x:v>
      </x:c>
      <x:c r="L621" s="17"/>
      <x:c r="M621" s="17"/>
      <x:c r="N621" s="17"/>
      <x:c r="O621" s="17"/>
      <x:c r="P621" s="17"/>
      <x:c r="Q621" s="17" t="str">
        <x:f>IF(COUNT(L621:P621)&lt;5,"",ROUND((L621*25+M621*20+N621*20+O621*20+P621*15)/5,1))</x:f>
      </x:c>
      <x:c r="R621" s="18" t="str"/>
      <x:c r="S621" s="18" t="str"/>
      <x:c r="T621" s="17" t="str"/>
      <x:c r="U621" s="19"/>
    </x:row>
    <x:row r="622">
      <x:c r="A622" s="17" t="str">
        <x:v>MTS-0621</x:v>
      </x:c>
      <x:c r="B622" s="17" t="str">
        <x:v>Hedge Trimming Estimator</x:v>
      </x:c>
      <x:c r="C622" s="17" t="str">
        <x:v>Landscaping and Tree Care</x:v>
      </x:c>
      <x:c r="D622" s="17" t="str">
        <x:v>Mobile App</x:v>
      </x:c>
      <x:c r="E622" s="17" t="str">
        <x:v>Landscapers and property owners</x:v>
      </x:c>
      <x:c r="F622" s="18" t="str">
        <x:v>Hedge Trimming Estimator provides a focused landscaping and tree care workflow for landscapers and property owners.</x:v>
      </x:c>
      <x:c r="G622" s="18" t="str">
        <x:v>Estimator, Camera, Scheduling, Reports</x:v>
      </x:c>
      <x:c r="H622" s="17" t="str">
        <x:v>Paid + Pro</x:v>
      </x:c>
      <x:c r="I622" s="17" t="str">
        <x:v>Medium</x:v>
      </x:c>
      <x:c r="J622" s="17" t="str">
        <x:v>New candidate</x:v>
      </x:c>
      <x:c r="K622" s="17" t="str">
        <x:v>Unreviewed</x:v>
      </x:c>
      <x:c r="L622" s="17"/>
      <x:c r="M622" s="17"/>
      <x:c r="N622" s="17"/>
      <x:c r="O622" s="17"/>
      <x:c r="P622" s="17"/>
      <x:c r="Q622" s="17" t="str">
        <x:f>IF(COUNT(L622:P622)&lt;5,"",ROUND((L622*25+M622*20+N622*20+O622*20+P622*15)/5,1))</x:f>
      </x:c>
      <x:c r="R622" s="18" t="str"/>
      <x:c r="S622" s="18" t="str"/>
      <x:c r="T622" s="17" t="str"/>
      <x:c r="U622" s="19"/>
    </x:row>
    <x:row r="623">
      <x:c r="A623" s="17" t="str">
        <x:v>MTS-0622</x:v>
      </x:c>
      <x:c r="B623" s="17" t="str">
        <x:v>Leaf Cleanup Estimator</x:v>
      </x:c>
      <x:c r="C623" s="17" t="str">
        <x:v>Landscaping and Tree Care</x:v>
      </x:c>
      <x:c r="D623" s="17" t="str">
        <x:v>Mobile App</x:v>
      </x:c>
      <x:c r="E623" s="17" t="str">
        <x:v>Landscapers and property owners</x:v>
      </x:c>
      <x:c r="F623" s="18" t="str">
        <x:v>Leaf Cleanup Estimator provides a focused landscaping and tree care workflow for landscapers and property owners.</x:v>
      </x:c>
      <x:c r="G623" s="18" t="str">
        <x:v>Estimator, Camera, Scheduling, Reports</x:v>
      </x:c>
      <x:c r="H623" s="17" t="str">
        <x:v>Paid + Pro</x:v>
      </x:c>
      <x:c r="I623" s="17" t="str">
        <x:v>Medium</x:v>
      </x:c>
      <x:c r="J623" s="17" t="str">
        <x:v>New candidate</x:v>
      </x:c>
      <x:c r="K623" s="17" t="str">
        <x:v>Unreviewed</x:v>
      </x:c>
      <x:c r="L623" s="17"/>
      <x:c r="M623" s="17"/>
      <x:c r="N623" s="17"/>
      <x:c r="O623" s="17"/>
      <x:c r="P623" s="17"/>
      <x:c r="Q623" s="17" t="str">
        <x:f>IF(COUNT(L623:P623)&lt;5,"",ROUND((L623*25+M623*20+N623*20+O623*20+P623*15)/5,1))</x:f>
      </x:c>
      <x:c r="R623" s="18" t="str"/>
      <x:c r="S623" s="18" t="str"/>
      <x:c r="T623" s="17" t="str"/>
      <x:c r="U623" s="19"/>
    </x:row>
    <x:row r="624">
      <x:c r="A624" s="17" t="str">
        <x:v>MTS-0623</x:v>
      </x:c>
      <x:c r="B624" s="17" t="str">
        <x:v>Landscape Photo Report</x:v>
      </x:c>
      <x:c r="C624" s="17" t="str">
        <x:v>Landscaping and Tree Care</x:v>
      </x:c>
      <x:c r="D624" s="17" t="str">
        <x:v>Mobile App</x:v>
      </x:c>
      <x:c r="E624" s="17" t="str">
        <x:v>Landscapers and property owners</x:v>
      </x:c>
      <x:c r="F624" s="18" t="str">
        <x:v>Landscape Photo Report provides a focused landscaping and tree care workflow for landscapers and property owners.</x:v>
      </x:c>
      <x:c r="G624" s="18" t="str">
        <x:v>Estimator, Camera, Scheduling, Reports</x:v>
      </x:c>
      <x:c r="H624" s="17" t="str">
        <x:v>Paid + Pro</x:v>
      </x:c>
      <x:c r="I624" s="17" t="str">
        <x:v>Medium</x:v>
      </x:c>
      <x:c r="J624" s="17" t="str">
        <x:v>New candidate</x:v>
      </x:c>
      <x:c r="K624" s="17" t="str">
        <x:v>Unreviewed</x:v>
      </x:c>
      <x:c r="L624" s="17"/>
      <x:c r="M624" s="17"/>
      <x:c r="N624" s="17"/>
      <x:c r="O624" s="17"/>
      <x:c r="P624" s="17"/>
      <x:c r="Q624" s="17" t="str">
        <x:f>IF(COUNT(L624:P624)&lt;5,"",ROUND((L624*25+M624*20+N624*20+O624*20+P624*15)/5,1))</x:f>
      </x:c>
      <x:c r="R624" s="18" t="str"/>
      <x:c r="S624" s="18" t="str"/>
      <x:c r="T624" s="17" t="str"/>
      <x:c r="U624" s="19"/>
    </x:row>
    <x:row r="625">
      <x:c r="A625" s="17" t="str">
        <x:v>MTS-0624</x:v>
      </x:c>
      <x:c r="B625" s="17" t="str">
        <x:v>Garden Sun Exposure Map</x:v>
      </x:c>
      <x:c r="C625" s="17" t="str">
        <x:v>Landscaping and Tree Care</x:v>
      </x:c>
      <x:c r="D625" s="17" t="str">
        <x:v>Mobile App</x:v>
      </x:c>
      <x:c r="E625" s="17" t="str">
        <x:v>Landscapers and property owners</x:v>
      </x:c>
      <x:c r="F625" s="18" t="str">
        <x:v>Garden Sun Exposure Map provides a focused landscaping and tree care workflow for landscapers and property owners.</x:v>
      </x:c>
      <x:c r="G625" s="18" t="str">
        <x:v>Estimator, Camera, Scheduling, Reports</x:v>
      </x:c>
      <x:c r="H625" s="17" t="str">
        <x:v>Paid + Pro</x:v>
      </x:c>
      <x:c r="I625" s="17" t="str">
        <x:v>Medium</x:v>
      </x:c>
      <x:c r="J625" s="17" t="str">
        <x:v>New candidate</x:v>
      </x:c>
      <x:c r="K625" s="17" t="str">
        <x:v>Unreviewed</x:v>
      </x:c>
      <x:c r="L625" s="17"/>
      <x:c r="M625" s="17"/>
      <x:c r="N625" s="17"/>
      <x:c r="O625" s="17"/>
      <x:c r="P625" s="17"/>
      <x:c r="Q625" s="17" t="str">
        <x:f>IF(COUNT(L625:P625)&lt;5,"",ROUND((L625*25+M625*20+N625*20+O625*20+P625*15)/5,1))</x:f>
      </x:c>
      <x:c r="R625" s="18" t="str"/>
      <x:c r="S625" s="18" t="str"/>
      <x:c r="T625" s="17" t="str"/>
      <x:c r="U625" s="19"/>
    </x:row>
    <x:row r="626">
      <x:c r="A626" s="17" t="str">
        <x:v>MTS-0625</x:v>
      </x:c>
      <x:c r="B626" s="17" t="str">
        <x:v>Pool Service Log</x:v>
      </x:c>
      <x:c r="C626" s="17" t="str">
        <x:v>Pool and Spa</x:v>
      </x:c>
      <x:c r="D626" s="17" t="str">
        <x:v>Mobile App</x:v>
      </x:c>
      <x:c r="E626" s="17" t="str">
        <x:v>Pool owners and technicians</x:v>
      </x:c>
      <x:c r="F626" s="18" t="str">
        <x:v>Pool Service Log provides a focused pool and spa workflow for pool owners and technicians.</x:v>
      </x:c>
      <x:c r="G626" s="18" t="str">
        <x:v>Maintenance, Calculator, Inspection, Reports</x:v>
      </x:c>
      <x:c r="H626" s="17" t="str">
        <x:v>Subscription + Pro</x:v>
      </x:c>
      <x:c r="I626" s="17" t="str">
        <x:v>Medium</x:v>
      </x:c>
      <x:c r="J626" s="17" t="str">
        <x:v>New candidate</x:v>
      </x:c>
      <x:c r="K626" s="17" t="str">
        <x:v>Unreviewed</x:v>
      </x:c>
      <x:c r="L626" s="17"/>
      <x:c r="M626" s="17"/>
      <x:c r="N626" s="17"/>
      <x:c r="O626" s="17"/>
      <x:c r="P626" s="17"/>
      <x:c r="Q626" s="17" t="str">
        <x:f>IF(COUNT(L626:P626)&lt;5,"",ROUND((L626*25+M626*20+N626*20+O626*20+P626*15)/5,1))</x:f>
      </x:c>
      <x:c r="R626" s="18" t="str"/>
      <x:c r="S626" s="18" t="str"/>
      <x:c r="T626" s="17" t="str"/>
      <x:c r="U626" s="19"/>
    </x:row>
    <x:row r="627">
      <x:c r="A627" s="17" t="str">
        <x:v>MTS-0626</x:v>
      </x:c>
      <x:c r="B627" s="17" t="str">
        <x:v>Pool Chemical Calculator</x:v>
      </x:c>
      <x:c r="C627" s="17" t="str">
        <x:v>Pool and Spa</x:v>
      </x:c>
      <x:c r="D627" s="17" t="str">
        <x:v>Mobile App</x:v>
      </x:c>
      <x:c r="E627" s="17" t="str">
        <x:v>Pool owners and technicians</x:v>
      </x:c>
      <x:c r="F627" s="18" t="str">
        <x:v>Pool Chemical Calculator provides a focused pool and spa workflow for pool owners and technicians.</x:v>
      </x:c>
      <x:c r="G627" s="18" t="str">
        <x:v>Maintenance, Calculator, Inspection, Reports</x:v>
      </x:c>
      <x:c r="H627" s="17" t="str">
        <x:v>Subscription + Pro</x:v>
      </x:c>
      <x:c r="I627" s="17" t="str">
        <x:v>Medium</x:v>
      </x:c>
      <x:c r="J627" s="17" t="str">
        <x:v>New candidate</x:v>
      </x:c>
      <x:c r="K627" s="17" t="str">
        <x:v>Unreviewed</x:v>
      </x:c>
      <x:c r="L627" s="17"/>
      <x:c r="M627" s="17"/>
      <x:c r="N627" s="17"/>
      <x:c r="O627" s="17"/>
      <x:c r="P627" s="17"/>
      <x:c r="Q627" s="17" t="str">
        <x:f>IF(COUNT(L627:P627)&lt;5,"",ROUND((L627*25+M627*20+N627*20+O627*20+P627*15)/5,1))</x:f>
      </x:c>
      <x:c r="R627" s="18" t="str"/>
      <x:c r="S627" s="18" t="str"/>
      <x:c r="T627" s="17" t="str"/>
      <x:c r="U627" s="19"/>
    </x:row>
    <x:row r="628">
      <x:c r="A628" s="17" t="str">
        <x:v>MTS-0627</x:v>
      </x:c>
      <x:c r="B628" s="17" t="str">
        <x:v>Spa Maintenance Tracker</x:v>
      </x:c>
      <x:c r="C628" s="17" t="str">
        <x:v>Pool and Spa</x:v>
      </x:c>
      <x:c r="D628" s="17" t="str">
        <x:v>Mobile App</x:v>
      </x:c>
      <x:c r="E628" s="17" t="str">
        <x:v>Pool owners and technicians</x:v>
      </x:c>
      <x:c r="F628" s="18" t="str">
        <x:v>Spa Maintenance Tracker provides a focused pool and spa workflow for pool owners and technicians.</x:v>
      </x:c>
      <x:c r="G628" s="18" t="str">
        <x:v>Maintenance, Calculator, Inspection, Reports</x:v>
      </x:c>
      <x:c r="H628" s="17" t="str">
        <x:v>Subscription + Pro</x:v>
      </x:c>
      <x:c r="I628" s="17" t="str">
        <x:v>Medium</x:v>
      </x:c>
      <x:c r="J628" s="17" t="str">
        <x:v>New candidate</x:v>
      </x:c>
      <x:c r="K628" s="17" t="str">
        <x:v>Unreviewed</x:v>
      </x:c>
      <x:c r="L628" s="17"/>
      <x:c r="M628" s="17"/>
      <x:c r="N628" s="17"/>
      <x:c r="O628" s="17"/>
      <x:c r="P628" s="17"/>
      <x:c r="Q628" s="17" t="str">
        <x:f>IF(COUNT(L628:P628)&lt;5,"",ROUND((L628*25+M628*20+N628*20+O628*20+P628*15)/5,1))</x:f>
      </x:c>
      <x:c r="R628" s="18" t="str"/>
      <x:c r="S628" s="18" t="str"/>
      <x:c r="T628" s="17" t="str"/>
      <x:c r="U628" s="19"/>
    </x:row>
    <x:row r="629">
      <x:c r="A629" s="17" t="str">
        <x:v>MTS-0628</x:v>
      </x:c>
      <x:c r="B629" s="17" t="str">
        <x:v>Pool Equipment Inventory</x:v>
      </x:c>
      <x:c r="C629" s="17" t="str">
        <x:v>Pool and Spa</x:v>
      </x:c>
      <x:c r="D629" s="17" t="str">
        <x:v>Mobile App</x:v>
      </x:c>
      <x:c r="E629" s="17" t="str">
        <x:v>Pool owners and technicians</x:v>
      </x:c>
      <x:c r="F629" s="18" t="str">
        <x:v>Pool Equipment Inventory provides a focused pool and spa workflow for pool owners and technicians.</x:v>
      </x:c>
      <x:c r="G629" s="18" t="str">
        <x:v>Maintenance, Calculator, Inspection, Reports</x:v>
      </x:c>
      <x:c r="H629" s="17" t="str">
        <x:v>Subscription + Pro</x:v>
      </x:c>
      <x:c r="I629" s="17" t="str">
        <x:v>Medium</x:v>
      </x:c>
      <x:c r="J629" s="17" t="str">
        <x:v>New candidate</x:v>
      </x:c>
      <x:c r="K629" s="17" t="str">
        <x:v>Unreviewed</x:v>
      </x:c>
      <x:c r="L629" s="17"/>
      <x:c r="M629" s="17"/>
      <x:c r="N629" s="17"/>
      <x:c r="O629" s="17"/>
      <x:c r="P629" s="17"/>
      <x:c r="Q629" s="17" t="str">
        <x:f>IF(COUNT(L629:P629)&lt;5,"",ROUND((L629*25+M629*20+N629*20+O629*20+P629*15)/5,1))</x:f>
      </x:c>
      <x:c r="R629" s="18" t="str"/>
      <x:c r="S629" s="18" t="str"/>
      <x:c r="T629" s="17" t="str"/>
      <x:c r="U629" s="19"/>
    </x:row>
    <x:row r="630">
      <x:c r="A630" s="17" t="str">
        <x:v>MTS-0629</x:v>
      </x:c>
      <x:c r="B630" s="17" t="str">
        <x:v>Leak Observation Log</x:v>
      </x:c>
      <x:c r="C630" s="17" t="str">
        <x:v>Pool and Spa</x:v>
      </x:c>
      <x:c r="D630" s="17" t="str">
        <x:v>Mobile App</x:v>
      </x:c>
      <x:c r="E630" s="17" t="str">
        <x:v>Pool owners and technicians</x:v>
      </x:c>
      <x:c r="F630" s="18" t="str">
        <x:v>Leak Observation Log provides a focused pool and spa workflow for pool owners and technicians.</x:v>
      </x:c>
      <x:c r="G630" s="18" t="str">
        <x:v>Maintenance, Calculator, Inspection, Reports</x:v>
      </x:c>
      <x:c r="H630" s="17" t="str">
        <x:v>Subscription + Pro</x:v>
      </x:c>
      <x:c r="I630" s="17" t="str">
        <x:v>Medium</x:v>
      </x:c>
      <x:c r="J630" s="17" t="str">
        <x:v>New candidate</x:v>
      </x:c>
      <x:c r="K630" s="17" t="str">
        <x:v>Unreviewed</x:v>
      </x:c>
      <x:c r="L630" s="17"/>
      <x:c r="M630" s="17"/>
      <x:c r="N630" s="17"/>
      <x:c r="O630" s="17"/>
      <x:c r="P630" s="17"/>
      <x:c r="Q630" s="17" t="str">
        <x:f>IF(COUNT(L630:P630)&lt;5,"",ROUND((L630*25+M630*20+N630*20+O630*20+P630*15)/5,1))</x:f>
      </x:c>
      <x:c r="R630" s="18" t="str"/>
      <x:c r="S630" s="18" t="str"/>
      <x:c r="T630" s="17" t="str"/>
      <x:c r="U630" s="19"/>
    </x:row>
    <x:row r="631">
      <x:c r="A631" s="17" t="str">
        <x:v>MTS-0630</x:v>
      </x:c>
      <x:c r="B631" s="17" t="str">
        <x:v>Pool Opening Checklist</x:v>
      </x:c>
      <x:c r="C631" s="17" t="str">
        <x:v>Pool and Spa</x:v>
      </x:c>
      <x:c r="D631" s="17" t="str">
        <x:v>Mobile App</x:v>
      </x:c>
      <x:c r="E631" s="17" t="str">
        <x:v>Pool owners and technicians</x:v>
      </x:c>
      <x:c r="F631" s="18" t="str">
        <x:v>Pool Opening Checklist provides a focused pool and spa workflow for pool owners and technicians.</x:v>
      </x:c>
      <x:c r="G631" s="18" t="str">
        <x:v>Maintenance, Calculator, Inspection, Reports</x:v>
      </x:c>
      <x:c r="H631" s="17" t="str">
        <x:v>Subscription + Pro</x:v>
      </x:c>
      <x:c r="I631" s="17" t="str">
        <x:v>Medium</x:v>
      </x:c>
      <x:c r="J631" s="17" t="str">
        <x:v>New candidate</x:v>
      </x:c>
      <x:c r="K631" s="17" t="str">
        <x:v>Unreviewed</x:v>
      </x:c>
      <x:c r="L631" s="17"/>
      <x:c r="M631" s="17"/>
      <x:c r="N631" s="17"/>
      <x:c r="O631" s="17"/>
      <x:c r="P631" s="17"/>
      <x:c r="Q631" s="17" t="str">
        <x:f>IF(COUNT(L631:P631)&lt;5,"",ROUND((L631*25+M631*20+N631*20+O631*20+P631*15)/5,1))</x:f>
      </x:c>
      <x:c r="R631" s="18" t="str"/>
      <x:c r="S631" s="18" t="str"/>
      <x:c r="T631" s="17" t="str"/>
      <x:c r="U631" s="19"/>
    </x:row>
    <x:row r="632">
      <x:c r="A632" s="17" t="str">
        <x:v>MTS-0631</x:v>
      </x:c>
      <x:c r="B632" s="17" t="str">
        <x:v>Pool Closing Checklist</x:v>
      </x:c>
      <x:c r="C632" s="17" t="str">
        <x:v>Pool and Spa</x:v>
      </x:c>
      <x:c r="D632" s="17" t="str">
        <x:v>Mobile App</x:v>
      </x:c>
      <x:c r="E632" s="17" t="str">
        <x:v>Pool owners and technicians</x:v>
      </x:c>
      <x:c r="F632" s="18" t="str">
        <x:v>Pool Closing Checklist provides a focused pool and spa workflow for pool owners and technicians.</x:v>
      </x:c>
      <x:c r="G632" s="18" t="str">
        <x:v>Maintenance, Calculator, Inspection, Reports</x:v>
      </x:c>
      <x:c r="H632" s="17" t="str">
        <x:v>Subscription + Pro</x:v>
      </x:c>
      <x:c r="I632" s="17" t="str">
        <x:v>Medium</x:v>
      </x:c>
      <x:c r="J632" s="17" t="str">
        <x:v>New candidate</x:v>
      </x:c>
      <x:c r="K632" s="17" t="str">
        <x:v>Unreviewed</x:v>
      </x:c>
      <x:c r="L632" s="17"/>
      <x:c r="M632" s="17"/>
      <x:c r="N632" s="17"/>
      <x:c r="O632" s="17"/>
      <x:c r="P632" s="17"/>
      <x:c r="Q632" s="17" t="str">
        <x:f>IF(COUNT(L632:P632)&lt;5,"",ROUND((L632*25+M632*20+N632*20+O632*20+P632*15)/5,1))</x:f>
      </x:c>
      <x:c r="R632" s="18" t="str"/>
      <x:c r="S632" s="18" t="str"/>
      <x:c r="T632" s="17" t="str"/>
      <x:c r="U632" s="19"/>
    </x:row>
    <x:row r="633">
      <x:c r="A633" s="17" t="str">
        <x:v>MTS-0632</x:v>
      </x:c>
      <x:c r="B633" s="17" t="str">
        <x:v>Filter Cleaning Reminder</x:v>
      </x:c>
      <x:c r="C633" s="17" t="str">
        <x:v>Pool and Spa</x:v>
      </x:c>
      <x:c r="D633" s="17" t="str">
        <x:v>Mobile App</x:v>
      </x:c>
      <x:c r="E633" s="17" t="str">
        <x:v>Pool owners and technicians</x:v>
      </x:c>
      <x:c r="F633" s="18" t="str">
        <x:v>Filter Cleaning Reminder provides a focused pool and spa workflow for pool owners and technicians.</x:v>
      </x:c>
      <x:c r="G633" s="18" t="str">
        <x:v>Maintenance, Calculator, Inspection, Reports</x:v>
      </x:c>
      <x:c r="H633" s="17" t="str">
        <x:v>Subscription + Pro</x:v>
      </x:c>
      <x:c r="I633" s="17" t="str">
        <x:v>Medium</x:v>
      </x:c>
      <x:c r="J633" s="17" t="str">
        <x:v>New candidate</x:v>
      </x:c>
      <x:c r="K633" s="17" t="str">
        <x:v>Unreviewed</x:v>
      </x:c>
      <x:c r="L633" s="17"/>
      <x:c r="M633" s="17"/>
      <x:c r="N633" s="17"/>
      <x:c r="O633" s="17"/>
      <x:c r="P633" s="17"/>
      <x:c r="Q633" s="17" t="str">
        <x:f>IF(COUNT(L633:P633)&lt;5,"",ROUND((L633*25+M633*20+N633*20+O633*20+P633*15)/5,1))</x:f>
      </x:c>
      <x:c r="R633" s="18" t="str"/>
      <x:c r="S633" s="18" t="str"/>
      <x:c r="T633" s="17" t="str"/>
      <x:c r="U633" s="19"/>
    </x:row>
    <x:row r="634">
      <x:c r="A634" s="17" t="str">
        <x:v>MTS-0633</x:v>
      </x:c>
      <x:c r="B634" s="17" t="str">
        <x:v>Pool Route Manager</x:v>
      </x:c>
      <x:c r="C634" s="17" t="str">
        <x:v>Pool and Spa</x:v>
      </x:c>
      <x:c r="D634" s="17" t="str">
        <x:v>Mobile App</x:v>
      </x:c>
      <x:c r="E634" s="17" t="str">
        <x:v>Pool owners and technicians</x:v>
      </x:c>
      <x:c r="F634" s="18" t="str">
        <x:v>Pool Route Manager provides a focused pool and spa workflow for pool owners and technicians.</x:v>
      </x:c>
      <x:c r="G634" s="18" t="str">
        <x:v>Maintenance, Calculator, Inspection, Reports</x:v>
      </x:c>
      <x:c r="H634" s="17" t="str">
        <x:v>Subscription + Pro</x:v>
      </x:c>
      <x:c r="I634" s="17" t="str">
        <x:v>Medium</x:v>
      </x:c>
      <x:c r="J634" s="17" t="str">
        <x:v>New candidate</x:v>
      </x:c>
      <x:c r="K634" s="17" t="str">
        <x:v>Unreviewed</x:v>
      </x:c>
      <x:c r="L634" s="17"/>
      <x:c r="M634" s="17"/>
      <x:c r="N634" s="17"/>
      <x:c r="O634" s="17"/>
      <x:c r="P634" s="17"/>
      <x:c r="Q634" s="17" t="str">
        <x:f>IF(COUNT(L634:P634)&lt;5,"",ROUND((L634*25+M634*20+N634*20+O634*20+P634*15)/5,1))</x:f>
      </x:c>
      <x:c r="R634" s="18" t="str"/>
      <x:c r="S634" s="18" t="str"/>
      <x:c r="T634" s="17" t="str"/>
      <x:c r="U634" s="19"/>
    </x:row>
    <x:row r="635">
      <x:c r="A635" s="17" t="str">
        <x:v>MTS-0634</x:v>
      </x:c>
      <x:c r="B635" s="17" t="str">
        <x:v>Water Test History</x:v>
      </x:c>
      <x:c r="C635" s="17" t="str">
        <x:v>Pool and Spa</x:v>
      </x:c>
      <x:c r="D635" s="17" t="str">
        <x:v>Mobile App</x:v>
      </x:c>
      <x:c r="E635" s="17" t="str">
        <x:v>Pool owners and technicians</x:v>
      </x:c>
      <x:c r="F635" s="18" t="str">
        <x:v>Water Test History provides a focused pool and spa workflow for pool owners and technicians.</x:v>
      </x:c>
      <x:c r="G635" s="18" t="str">
        <x:v>Maintenance, Calculator, Inspection, Reports</x:v>
      </x:c>
      <x:c r="H635" s="17" t="str">
        <x:v>Subscription + Pro</x:v>
      </x:c>
      <x:c r="I635" s="17" t="str">
        <x:v>Medium</x:v>
      </x:c>
      <x:c r="J635" s="17" t="str">
        <x:v>New candidate</x:v>
      </x:c>
      <x:c r="K635" s="17" t="str">
        <x:v>Unreviewed</x:v>
      </x:c>
      <x:c r="L635" s="17"/>
      <x:c r="M635" s="17"/>
      <x:c r="N635" s="17"/>
      <x:c r="O635" s="17"/>
      <x:c r="P635" s="17"/>
      <x:c r="Q635" s="17" t="str">
        <x:f>IF(COUNT(L635:P635)&lt;5,"",ROUND((L635*25+M635*20+N635*20+O635*20+P635*15)/5,1))</x:f>
      </x:c>
      <x:c r="R635" s="18" t="str"/>
      <x:c r="S635" s="18" t="str"/>
      <x:c r="T635" s="17" t="str"/>
      <x:c r="U635" s="19"/>
    </x:row>
    <x:row r="636">
      <x:c r="A636" s="17" t="str">
        <x:v>MTS-0635</x:v>
      </x:c>
      <x:c r="B636" s="17" t="str">
        <x:v>Pool Repair Photo Report</x:v>
      </x:c>
      <x:c r="C636" s="17" t="str">
        <x:v>Pool and Spa</x:v>
      </x:c>
      <x:c r="D636" s="17" t="str">
        <x:v>Mobile App</x:v>
      </x:c>
      <x:c r="E636" s="17" t="str">
        <x:v>Pool owners and technicians</x:v>
      </x:c>
      <x:c r="F636" s="18" t="str">
        <x:v>Pool Repair Photo Report provides a focused pool and spa workflow for pool owners and technicians.</x:v>
      </x:c>
      <x:c r="G636" s="18" t="str">
        <x:v>Maintenance, Calculator, Inspection, Reports</x:v>
      </x:c>
      <x:c r="H636" s="17" t="str">
        <x:v>Subscription + Pro</x:v>
      </x:c>
      <x:c r="I636" s="17" t="str">
        <x:v>Medium</x:v>
      </x:c>
      <x:c r="J636" s="17" t="str">
        <x:v>New candidate</x:v>
      </x:c>
      <x:c r="K636" s="17" t="str">
        <x:v>Unreviewed</x:v>
      </x:c>
      <x:c r="L636" s="17"/>
      <x:c r="M636" s="17"/>
      <x:c r="N636" s="17"/>
      <x:c r="O636" s="17"/>
      <x:c r="P636" s="17"/>
      <x:c r="Q636" s="17" t="str">
        <x:f>IF(COUNT(L636:P636)&lt;5,"",ROUND((L636*25+M636*20+N636*20+O636*20+P636*15)/5,1))</x:f>
      </x:c>
      <x:c r="R636" s="18" t="str"/>
      <x:c r="S636" s="18" t="str"/>
      <x:c r="T636" s="17" t="str"/>
      <x:c r="U636" s="19"/>
    </x:row>
    <x:row r="637">
      <x:c r="A637" s="17" t="str">
        <x:v>MTS-0636</x:v>
      </x:c>
      <x:c r="B637" s="17" t="str">
        <x:v>Public Pool Inspection Prep</x:v>
      </x:c>
      <x:c r="C637" s="17" t="str">
        <x:v>Pool and Spa</x:v>
      </x:c>
      <x:c r="D637" s="17" t="str">
        <x:v>Mobile App</x:v>
      </x:c>
      <x:c r="E637" s="17" t="str">
        <x:v>Pool owners and technicians</x:v>
      </x:c>
      <x:c r="F637" s="18" t="str">
        <x:v>Public Pool Inspection Prep provides a focused pool and spa workflow for pool owners and technicians.</x:v>
      </x:c>
      <x:c r="G637" s="18" t="str">
        <x:v>Maintenance, Calculator, Inspection, Reports</x:v>
      </x:c>
      <x:c r="H637" s="17" t="str">
        <x:v>Subscription + Pro</x:v>
      </x:c>
      <x:c r="I637" s="17" t="str">
        <x:v>Medium</x:v>
      </x:c>
      <x:c r="J637" s="17" t="str">
        <x:v>New candidate</x:v>
      </x:c>
      <x:c r="K637" s="17" t="str">
        <x:v>Unreviewed</x:v>
      </x:c>
      <x:c r="L637" s="17"/>
      <x:c r="M637" s="17"/>
      <x:c r="N637" s="17"/>
      <x:c r="O637" s="17"/>
      <x:c r="P637" s="17"/>
      <x:c r="Q637" s="17" t="str">
        <x:f>IF(COUNT(L637:P637)&lt;5,"",ROUND((L637*25+M637*20+N637*20+O637*20+P637*15)/5,1))</x:f>
      </x:c>
      <x:c r="R637" s="18" t="str"/>
      <x:c r="S637" s="18" t="str"/>
      <x:c r="T637" s="17" t="str"/>
      <x:c r="U637" s="19"/>
    </x:row>
    <x:row r="638">
      <x:c r="A638" s="17" t="str">
        <x:v>MTS-0637</x:v>
      </x:c>
      <x:c r="B638" s="17" t="str">
        <x:v>Rental Turnover Manager</x:v>
      </x:c>
      <x:c r="C638" s="17" t="str">
        <x:v>Property Management</x:v>
      </x:c>
      <x:c r="D638" s="17" t="str">
        <x:v>Mobile + SaaS</x:v>
      </x:c>
      <x:c r="E638" s="17" t="str">
        <x:v>Landlords and property managers</x:v>
      </x:c>
      <x:c r="F638" s="18" t="str">
        <x:v>Rental Turnover Manager provides a focused property management workflow for landlords and property managers.</x:v>
      </x:c>
      <x:c r="G638" s="18" t="str">
        <x:v>Properties, Inspections, Work Orders, Reports</x:v>
      </x:c>
      <x:c r="H638" s="17" t="str">
        <x:v>Subscription</x:v>
      </x:c>
      <x:c r="I638" s="17" t="str">
        <x:v>Large</x:v>
      </x:c>
      <x:c r="J638" s="17" t="str">
        <x:v>New candidate</x:v>
      </x:c>
      <x:c r="K638" s="17" t="str">
        <x:v>Unreviewed</x:v>
      </x:c>
      <x:c r="L638" s="17"/>
      <x:c r="M638" s="17"/>
      <x:c r="N638" s="17"/>
      <x:c r="O638" s="17"/>
      <x:c r="P638" s="17"/>
      <x:c r="Q638" s="17" t="str">
        <x:f>IF(COUNT(L638:P638)&lt;5,"",ROUND((L638*25+M638*20+N638*20+O638*20+P638*15)/5,1))</x:f>
      </x:c>
      <x:c r="R638" s="18" t="str"/>
      <x:c r="S638" s="18" t="str"/>
      <x:c r="T638" s="17" t="str"/>
      <x:c r="U638" s="19"/>
    </x:row>
    <x:row r="639">
      <x:c r="A639" s="17" t="str">
        <x:v>MTS-0638</x:v>
      </x:c>
      <x:c r="B639" s="17" t="str">
        <x:v>Tenant Maintenance Intake</x:v>
      </x:c>
      <x:c r="C639" s="17" t="str">
        <x:v>Property Management</x:v>
      </x:c>
      <x:c r="D639" s="17" t="str">
        <x:v>Mobile + SaaS</x:v>
      </x:c>
      <x:c r="E639" s="17" t="str">
        <x:v>Landlords and property managers</x:v>
      </x:c>
      <x:c r="F639" s="18" t="str">
        <x:v>Tenant Maintenance Intake provides a focused property management workflow for landlords and property managers.</x:v>
      </x:c>
      <x:c r="G639" s="18" t="str">
        <x:v>Properties, Inspections, Work Orders, Reports</x:v>
      </x:c>
      <x:c r="H639" s="17" t="str">
        <x:v>Subscription</x:v>
      </x:c>
      <x:c r="I639" s="17" t="str">
        <x:v>Large</x:v>
      </x:c>
      <x:c r="J639" s="17" t="str">
        <x:v>New candidate</x:v>
      </x:c>
      <x:c r="K639" s="17" t="str">
        <x:v>Unreviewed</x:v>
      </x:c>
      <x:c r="L639" s="17"/>
      <x:c r="M639" s="17"/>
      <x:c r="N639" s="17"/>
      <x:c r="O639" s="17"/>
      <x:c r="P639" s="17"/>
      <x:c r="Q639" s="17" t="str">
        <x:f>IF(COUNT(L639:P639)&lt;5,"",ROUND((L639*25+M639*20+N639*20+O639*20+P639*15)/5,1))</x:f>
      </x:c>
      <x:c r="R639" s="18" t="str"/>
      <x:c r="S639" s="18" t="str"/>
      <x:c r="T639" s="17" t="str"/>
      <x:c r="U639" s="19"/>
    </x:row>
    <x:row r="640">
      <x:c r="A640" s="17" t="str">
        <x:v>MTS-0639</x:v>
      </x:c>
      <x:c r="B640" s="17" t="str">
        <x:v>Property Inspection Schedule</x:v>
      </x:c>
      <x:c r="C640" s="17" t="str">
        <x:v>Property Management</x:v>
      </x:c>
      <x:c r="D640" s="17" t="str">
        <x:v>Mobile + SaaS</x:v>
      </x:c>
      <x:c r="E640" s="17" t="str">
        <x:v>Landlords and property managers</x:v>
      </x:c>
      <x:c r="F640" s="18" t="str">
        <x:v>Property Inspection Schedule provides a focused property management workflow for landlords and property managers.</x:v>
      </x:c>
      <x:c r="G640" s="18" t="str">
        <x:v>Properties, Inspections, Work Orders, Reports</x:v>
      </x:c>
      <x:c r="H640" s="17" t="str">
        <x:v>Subscription</x:v>
      </x:c>
      <x:c r="I640" s="17" t="str">
        <x:v>Large</x:v>
      </x:c>
      <x:c r="J640" s="17" t="str">
        <x:v>New candidate</x:v>
      </x:c>
      <x:c r="K640" s="17" t="str">
        <x:v>Unreviewed</x:v>
      </x:c>
      <x:c r="L640" s="17"/>
      <x:c r="M640" s="17"/>
      <x:c r="N640" s="17"/>
      <x:c r="O640" s="17"/>
      <x:c r="P640" s="17"/>
      <x:c r="Q640" s="17" t="str">
        <x:f>IF(COUNT(L640:P640)&lt;5,"",ROUND((L640*25+M640*20+N640*20+O640*20+P640*15)/5,1))</x:f>
      </x:c>
      <x:c r="R640" s="18" t="str"/>
      <x:c r="S640" s="18" t="str"/>
      <x:c r="T640" s="17" t="str"/>
      <x:c r="U640" s="19"/>
    </x:row>
    <x:row r="641">
      <x:c r="A641" s="17" t="str">
        <x:v>MTS-0640</x:v>
      </x:c>
      <x:c r="B641" s="17" t="str">
        <x:v>Lease Renewal Reminder</x:v>
      </x:c>
      <x:c r="C641" s="17" t="str">
        <x:v>Property Management</x:v>
      </x:c>
      <x:c r="D641" s="17" t="str">
        <x:v>Mobile + SaaS</x:v>
      </x:c>
      <x:c r="E641" s="17" t="str">
        <x:v>Landlords and property managers</x:v>
      </x:c>
      <x:c r="F641" s="18" t="str">
        <x:v>Lease Renewal Reminder provides a focused property management workflow for landlords and property managers.</x:v>
      </x:c>
      <x:c r="G641" s="18" t="str">
        <x:v>Properties, Inspections, Work Orders, Reports</x:v>
      </x:c>
      <x:c r="H641" s="17" t="str">
        <x:v>Subscription</x:v>
      </x:c>
      <x:c r="I641" s="17" t="str">
        <x:v>Large</x:v>
      </x:c>
      <x:c r="J641" s="17" t="str">
        <x:v>New candidate</x:v>
      </x:c>
      <x:c r="K641" s="17" t="str">
        <x:v>Unreviewed</x:v>
      </x:c>
      <x:c r="L641" s="17"/>
      <x:c r="M641" s="17"/>
      <x:c r="N641" s="17"/>
      <x:c r="O641" s="17"/>
      <x:c r="P641" s="17"/>
      <x:c r="Q641" s="17" t="str">
        <x:f>IF(COUNT(L641:P641)&lt;5,"",ROUND((L641*25+M641*20+N641*20+O641*20+P641*15)/5,1))</x:f>
      </x:c>
      <x:c r="R641" s="18" t="str"/>
      <x:c r="S641" s="18" t="str"/>
      <x:c r="T641" s="17" t="str"/>
      <x:c r="U641" s="19"/>
    </x:row>
    <x:row r="642">
      <x:c r="A642" s="17" t="str">
        <x:v>MTS-0641</x:v>
      </x:c>
      <x:c r="B642" s="17" t="str">
        <x:v>Vendor Dispatch Board</x:v>
      </x:c>
      <x:c r="C642" s="17" t="str">
        <x:v>Property Management</x:v>
      </x:c>
      <x:c r="D642" s="17" t="str">
        <x:v>Mobile + SaaS</x:v>
      </x:c>
      <x:c r="E642" s="17" t="str">
        <x:v>Landlords and property managers</x:v>
      </x:c>
      <x:c r="F642" s="18" t="str">
        <x:v>Vendor Dispatch Board provides a focused property management workflow for landlords and property managers.</x:v>
      </x:c>
      <x:c r="G642" s="18" t="str">
        <x:v>Properties, Inspections, Work Orders, Reports</x:v>
      </x:c>
      <x:c r="H642" s="17" t="str">
        <x:v>Subscription</x:v>
      </x:c>
      <x:c r="I642" s="17" t="str">
        <x:v>Large</x:v>
      </x:c>
      <x:c r="J642" s="17" t="str">
        <x:v>New candidate</x:v>
      </x:c>
      <x:c r="K642" s="17" t="str">
        <x:v>Unreviewed</x:v>
      </x:c>
      <x:c r="L642" s="17"/>
      <x:c r="M642" s="17"/>
      <x:c r="N642" s="17"/>
      <x:c r="O642" s="17"/>
      <x:c r="P642" s="17"/>
      <x:c r="Q642" s="17" t="str">
        <x:f>IF(COUNT(L642:P642)&lt;5,"",ROUND((L642*25+M642*20+N642*20+O642*20+P642*15)/5,1))</x:f>
      </x:c>
      <x:c r="R642" s="18" t="str"/>
      <x:c r="S642" s="18" t="str"/>
      <x:c r="T642" s="17" t="str"/>
      <x:c r="U642" s="19"/>
    </x:row>
    <x:row r="643">
      <x:c r="A643" s="17" t="str">
        <x:v>MTS-0642</x:v>
      </x:c>
      <x:c r="B643" s="17" t="str">
        <x:v>Unit Key Inventory</x:v>
      </x:c>
      <x:c r="C643" s="17" t="str">
        <x:v>Property Management</x:v>
      </x:c>
      <x:c r="D643" s="17" t="str">
        <x:v>Mobile + SaaS</x:v>
      </x:c>
      <x:c r="E643" s="17" t="str">
        <x:v>Landlords and property managers</x:v>
      </x:c>
      <x:c r="F643" s="18" t="str">
        <x:v>Unit Key Inventory provides a focused property management workflow for landlords and property managers.</x:v>
      </x:c>
      <x:c r="G643" s="18" t="str">
        <x:v>Properties, Inspections, Work Orders, Reports</x:v>
      </x:c>
      <x:c r="H643" s="17" t="str">
        <x:v>Subscription</x:v>
      </x:c>
      <x:c r="I643" s="17" t="str">
        <x:v>Large</x:v>
      </x:c>
      <x:c r="J643" s="17" t="str">
        <x:v>New candidate</x:v>
      </x:c>
      <x:c r="K643" s="17" t="str">
        <x:v>Unreviewed</x:v>
      </x:c>
      <x:c r="L643" s="17"/>
      <x:c r="M643" s="17"/>
      <x:c r="N643" s="17"/>
      <x:c r="O643" s="17"/>
      <x:c r="P643" s="17"/>
      <x:c r="Q643" s="17" t="str">
        <x:f>IF(COUNT(L643:P643)&lt;5,"",ROUND((L643*25+M643*20+N643*20+O643*20+P643*15)/5,1))</x:f>
      </x:c>
      <x:c r="R643" s="18" t="str"/>
      <x:c r="S643" s="18" t="str"/>
      <x:c r="T643" s="17" t="str"/>
      <x:c r="U643" s="19"/>
    </x:row>
    <x:row r="644">
      <x:c r="A644" s="17" t="str">
        <x:v>MTS-0643</x:v>
      </x:c>
      <x:c r="B644" s="17" t="str">
        <x:v>Rent-Ready Checklist</x:v>
      </x:c>
      <x:c r="C644" s="17" t="str">
        <x:v>Property Management</x:v>
      </x:c>
      <x:c r="D644" s="17" t="str">
        <x:v>Mobile + SaaS</x:v>
      </x:c>
      <x:c r="E644" s="17" t="str">
        <x:v>Landlords and property managers</x:v>
      </x:c>
      <x:c r="F644" s="18" t="str">
        <x:v>Rent-Ready Checklist provides a focused property management workflow for landlords and property managers.</x:v>
      </x:c>
      <x:c r="G644" s="18" t="str">
        <x:v>Properties, Inspections, Work Orders, Reports</x:v>
      </x:c>
      <x:c r="H644" s="17" t="str">
        <x:v>Subscription</x:v>
      </x:c>
      <x:c r="I644" s="17" t="str">
        <x:v>Large</x:v>
      </x:c>
      <x:c r="J644" s="17" t="str">
        <x:v>New candidate</x:v>
      </x:c>
      <x:c r="K644" s="17" t="str">
        <x:v>Unreviewed</x:v>
      </x:c>
      <x:c r="L644" s="17"/>
      <x:c r="M644" s="17"/>
      <x:c r="N644" s="17"/>
      <x:c r="O644" s="17"/>
      <x:c r="P644" s="17"/>
      <x:c r="Q644" s="17" t="str">
        <x:f>IF(COUNT(L644:P644)&lt;5,"",ROUND((L644*25+M644*20+N644*20+O644*20+P644*15)/5,1))</x:f>
      </x:c>
      <x:c r="R644" s="18" t="str"/>
      <x:c r="S644" s="18" t="str"/>
      <x:c r="T644" s="17" t="str"/>
      <x:c r="U644" s="19"/>
    </x:row>
    <x:row r="645">
      <x:c r="A645" s="17" t="str">
        <x:v>MTS-0644</x:v>
      </x:c>
      <x:c r="B645" s="17" t="str">
        <x:v>Common Area Inspection</x:v>
      </x:c>
      <x:c r="C645" s="17" t="str">
        <x:v>Property Management</x:v>
      </x:c>
      <x:c r="D645" s="17" t="str">
        <x:v>Mobile + SaaS</x:v>
      </x:c>
      <x:c r="E645" s="17" t="str">
        <x:v>Landlords and property managers</x:v>
      </x:c>
      <x:c r="F645" s="18" t="str">
        <x:v>Common Area Inspection provides a focused property management workflow for landlords and property managers.</x:v>
      </x:c>
      <x:c r="G645" s="18" t="str">
        <x:v>Properties, Inspections, Work Orders, Reports</x:v>
      </x:c>
      <x:c r="H645" s="17" t="str">
        <x:v>Subscription</x:v>
      </x:c>
      <x:c r="I645" s="17" t="str">
        <x:v>Large</x:v>
      </x:c>
      <x:c r="J645" s="17" t="str">
        <x:v>New candidate</x:v>
      </x:c>
      <x:c r="K645" s="17" t="str">
        <x:v>Unreviewed</x:v>
      </x:c>
      <x:c r="L645" s="17"/>
      <x:c r="M645" s="17"/>
      <x:c r="N645" s="17"/>
      <x:c r="O645" s="17"/>
      <x:c r="P645" s="17"/>
      <x:c r="Q645" s="17" t="str">
        <x:f>IF(COUNT(L645:P645)&lt;5,"",ROUND((L645*25+M645*20+N645*20+O645*20+P645*15)/5,1))</x:f>
      </x:c>
      <x:c r="R645" s="18" t="str"/>
      <x:c r="S645" s="18" t="str"/>
      <x:c r="T645" s="17" t="str"/>
      <x:c r="U645" s="19"/>
    </x:row>
    <x:row r="646">
      <x:c r="A646" s="17" t="str">
        <x:v>MTS-0645</x:v>
      </x:c>
      <x:c r="B646" s="17" t="str">
        <x:v>Property Photo Timeline</x:v>
      </x:c>
      <x:c r="C646" s="17" t="str">
        <x:v>Property Management</x:v>
      </x:c>
      <x:c r="D646" s="17" t="str">
        <x:v>Mobile + SaaS</x:v>
      </x:c>
      <x:c r="E646" s="17" t="str">
        <x:v>Landlords and property managers</x:v>
      </x:c>
      <x:c r="F646" s="18" t="str">
        <x:v>Property Photo Timeline provides a focused property management workflow for landlords and property managers.</x:v>
      </x:c>
      <x:c r="G646" s="18" t="str">
        <x:v>Properties, Inspections, Work Orders, Reports</x:v>
      </x:c>
      <x:c r="H646" s="17" t="str">
        <x:v>Subscription</x:v>
      </x:c>
      <x:c r="I646" s="17" t="str">
        <x:v>Large</x:v>
      </x:c>
      <x:c r="J646" s="17" t="str">
        <x:v>New candidate</x:v>
      </x:c>
      <x:c r="K646" s="17" t="str">
        <x:v>Unreviewed</x:v>
      </x:c>
      <x:c r="L646" s="17"/>
      <x:c r="M646" s="17"/>
      <x:c r="N646" s="17"/>
      <x:c r="O646" s="17"/>
      <x:c r="P646" s="17"/>
      <x:c r="Q646" s="17" t="str">
        <x:f>IF(COUNT(L646:P646)&lt;5,"",ROUND((L646*25+M646*20+N646*20+O646*20+P646*15)/5,1))</x:f>
      </x:c>
      <x:c r="R646" s="18" t="str"/>
      <x:c r="S646" s="18" t="str"/>
      <x:c r="T646" s="17" t="str"/>
      <x:c r="U646" s="19"/>
    </x:row>
    <x:row r="647">
      <x:c r="A647" s="17" t="str">
        <x:v>MTS-0646</x:v>
      </x:c>
      <x:c r="B647" s="17" t="str">
        <x:v>Utility Transfer Checklist</x:v>
      </x:c>
      <x:c r="C647" s="17" t="str">
        <x:v>Property Management</x:v>
      </x:c>
      <x:c r="D647" s="17" t="str">
        <x:v>Mobile + SaaS</x:v>
      </x:c>
      <x:c r="E647" s="17" t="str">
        <x:v>Landlords and property managers</x:v>
      </x:c>
      <x:c r="F647" s="18" t="str">
        <x:v>Utility Transfer Checklist provides a focused property management workflow for landlords and property managers.</x:v>
      </x:c>
      <x:c r="G647" s="18" t="str">
        <x:v>Properties, Inspections, Work Orders, Reports</x:v>
      </x:c>
      <x:c r="H647" s="17" t="str">
        <x:v>Subscription</x:v>
      </x:c>
      <x:c r="I647" s="17" t="str">
        <x:v>Large</x:v>
      </x:c>
      <x:c r="J647" s="17" t="str">
        <x:v>New candidate</x:v>
      </x:c>
      <x:c r="K647" s="17" t="str">
        <x:v>Unreviewed</x:v>
      </x:c>
      <x:c r="L647" s="17"/>
      <x:c r="M647" s="17"/>
      <x:c r="N647" s="17"/>
      <x:c r="O647" s="17"/>
      <x:c r="P647" s="17"/>
      <x:c r="Q647" s="17" t="str">
        <x:f>IF(COUNT(L647:P647)&lt;5,"",ROUND((L647*25+M647*20+N647*20+O647*20+P647*15)/5,1))</x:f>
      </x:c>
      <x:c r="R647" s="18" t="str"/>
      <x:c r="S647" s="18" t="str"/>
      <x:c r="T647" s="17" t="str"/>
      <x:c r="U647" s="19"/>
    </x:row>
    <x:row r="648">
      <x:c r="A648" s="17" t="str">
        <x:v>MTS-0647</x:v>
      </x:c>
      <x:c r="B648" s="17" t="str">
        <x:v>Vacancy Cost Tracker</x:v>
      </x:c>
      <x:c r="C648" s="17" t="str">
        <x:v>Property Management</x:v>
      </x:c>
      <x:c r="D648" s="17" t="str">
        <x:v>Mobile + SaaS</x:v>
      </x:c>
      <x:c r="E648" s="17" t="str">
        <x:v>Landlords and property managers</x:v>
      </x:c>
      <x:c r="F648" s="18" t="str">
        <x:v>Vacancy Cost Tracker provides a focused property management workflow for landlords and property managers.</x:v>
      </x:c>
      <x:c r="G648" s="18" t="str">
        <x:v>Properties, Inspections, Work Orders, Reports</x:v>
      </x:c>
      <x:c r="H648" s="17" t="str">
        <x:v>Subscription</x:v>
      </x:c>
      <x:c r="I648" s="17" t="str">
        <x:v>Large</x:v>
      </x:c>
      <x:c r="J648" s="17" t="str">
        <x:v>New candidate</x:v>
      </x:c>
      <x:c r="K648" s="17" t="str">
        <x:v>Unreviewed</x:v>
      </x:c>
      <x:c r="L648" s="17"/>
      <x:c r="M648" s="17"/>
      <x:c r="N648" s="17"/>
      <x:c r="O648" s="17"/>
      <x:c r="P648" s="17"/>
      <x:c r="Q648" s="17" t="str">
        <x:f>IF(COUNT(L648:P648)&lt;5,"",ROUND((L648*25+M648*20+N648*20+O648*20+P648*15)/5,1))</x:f>
      </x:c>
      <x:c r="R648" s="18" t="str"/>
      <x:c r="S648" s="18" t="str"/>
      <x:c r="T648" s="17" t="str"/>
      <x:c r="U648" s="19"/>
    </x:row>
    <x:row r="649">
      <x:c r="A649" s="17" t="str">
        <x:v>MTS-0648</x:v>
      </x:c>
      <x:c r="B649" s="17" t="str">
        <x:v>Rental Appliance Inventory</x:v>
      </x:c>
      <x:c r="C649" s="17" t="str">
        <x:v>Property Management</x:v>
      </x:c>
      <x:c r="D649" s="17" t="str">
        <x:v>Mobile + SaaS</x:v>
      </x:c>
      <x:c r="E649" s="17" t="str">
        <x:v>Landlords and property managers</x:v>
      </x:c>
      <x:c r="F649" s="18" t="str">
        <x:v>Rental Appliance Inventory provides a focused property management workflow for landlords and property managers.</x:v>
      </x:c>
      <x:c r="G649" s="18" t="str">
        <x:v>Properties, Inspections, Work Orders, Reports</x:v>
      </x:c>
      <x:c r="H649" s="17" t="str">
        <x:v>Subscription</x:v>
      </x:c>
      <x:c r="I649" s="17" t="str">
        <x:v>Large</x:v>
      </x:c>
      <x:c r="J649" s="17" t="str">
        <x:v>New candidate</x:v>
      </x:c>
      <x:c r="K649" s="17" t="str">
        <x:v>Unreviewed</x:v>
      </x:c>
      <x:c r="L649" s="17"/>
      <x:c r="M649" s="17"/>
      <x:c r="N649" s="17"/>
      <x:c r="O649" s="17"/>
      <x:c r="P649" s="17"/>
      <x:c r="Q649" s="17" t="str">
        <x:f>IF(COUNT(L649:P649)&lt;5,"",ROUND((L649*25+M649*20+N649*20+O649*20+P649*15)/5,1))</x:f>
      </x:c>
      <x:c r="R649" s="18" t="str"/>
      <x:c r="S649" s="18" t="str"/>
      <x:c r="T649" s="17" t="str"/>
      <x:c r="U649" s="19"/>
    </x:row>
    <x:row r="650">
      <x:c r="A650" s="17" t="str">
        <x:v>MTS-0649</x:v>
      </x:c>
      <x:c r="B650" s="17" t="str">
        <x:v>Moving Box Inventory</x:v>
      </x:c>
      <x:c r="C650" s="17" t="str">
        <x:v>Moving and Storage</x:v>
      </x:c>
      <x:c r="D650" s="17" t="str">
        <x:v>Mobile App</x:v>
      </x:c>
      <x:c r="E650" s="17" t="str">
        <x:v>Movers and households</x:v>
      </x:c>
      <x:c r="F650" s="18" t="str">
        <x:v>Moving Box Inventory provides a focused moving and storage workflow for movers and households.</x:v>
      </x:c>
      <x:c r="G650" s="18" t="str">
        <x:v>Inventory, Camera, Labels, Estimates</x:v>
      </x:c>
      <x:c r="H650" s="17" t="str">
        <x:v>Freemium</x:v>
      </x:c>
      <x:c r="I650" s="17" t="str">
        <x:v>Small</x:v>
      </x:c>
      <x:c r="J650" s="17" t="str">
        <x:v>New candidate</x:v>
      </x:c>
      <x:c r="K650" s="17" t="str">
        <x:v>Unreviewed</x:v>
      </x:c>
      <x:c r="L650" s="17"/>
      <x:c r="M650" s="17"/>
      <x:c r="N650" s="17"/>
      <x:c r="O650" s="17"/>
      <x:c r="P650" s="17"/>
      <x:c r="Q650" s="17" t="str">
        <x:f>IF(COUNT(L650:P650)&lt;5,"",ROUND((L650*25+M650*20+N650*20+O650*20+P650*15)/5,1))</x:f>
      </x:c>
      <x:c r="R650" s="18" t="str"/>
      <x:c r="S650" s="18" t="str"/>
      <x:c r="T650" s="17" t="str"/>
      <x:c r="U650" s="19"/>
    </x:row>
    <x:row r="651">
      <x:c r="A651" s="17" t="str">
        <x:v>MTS-0650</x:v>
      </x:c>
      <x:c r="B651" s="17" t="str">
        <x:v>Storage Unit Mapper</x:v>
      </x:c>
      <x:c r="C651" s="17" t="str">
        <x:v>Moving and Storage</x:v>
      </x:c>
      <x:c r="D651" s="17" t="str">
        <x:v>Mobile App</x:v>
      </x:c>
      <x:c r="E651" s="17" t="str">
        <x:v>Movers and households</x:v>
      </x:c>
      <x:c r="F651" s="18" t="str">
        <x:v>Storage Unit Mapper provides a focused moving and storage workflow for movers and households.</x:v>
      </x:c>
      <x:c r="G651" s="18" t="str">
        <x:v>Inventory, Camera, Labels, Estimates</x:v>
      </x:c>
      <x:c r="H651" s="17" t="str">
        <x:v>Freemium</x:v>
      </x:c>
      <x:c r="I651" s="17" t="str">
        <x:v>Small</x:v>
      </x:c>
      <x:c r="J651" s="17" t="str">
        <x:v>New candidate</x:v>
      </x:c>
      <x:c r="K651" s="17" t="str">
        <x:v>Unreviewed</x:v>
      </x:c>
      <x:c r="L651" s="17"/>
      <x:c r="M651" s="17"/>
      <x:c r="N651" s="17"/>
      <x:c r="O651" s="17"/>
      <x:c r="P651" s="17"/>
      <x:c r="Q651" s="17" t="str">
        <x:f>IF(COUNT(L651:P651)&lt;5,"",ROUND((L651*25+M651*20+N651*20+O651*20+P651*15)/5,1))</x:f>
      </x:c>
      <x:c r="R651" s="18" t="str"/>
      <x:c r="S651" s="18" t="str"/>
      <x:c r="T651" s="17" t="str"/>
      <x:c r="U651" s="19"/>
    </x:row>
    <x:row r="652">
      <x:c r="A652" s="17" t="str">
        <x:v>MTS-0651</x:v>
      </x:c>
      <x:c r="B652" s="17" t="str">
        <x:v>Moving Cost Estimator</x:v>
      </x:c>
      <x:c r="C652" s="17" t="str">
        <x:v>Moving and Storage</x:v>
      </x:c>
      <x:c r="D652" s="17" t="str">
        <x:v>Mobile App</x:v>
      </x:c>
      <x:c r="E652" s="17" t="str">
        <x:v>Movers and households</x:v>
      </x:c>
      <x:c r="F652" s="18" t="str">
        <x:v>Moving Cost Estimator provides a focused moving and storage workflow for movers and households.</x:v>
      </x:c>
      <x:c r="G652" s="18" t="str">
        <x:v>Inventory, Camera, Labels, Estimates</x:v>
      </x:c>
      <x:c r="H652" s="17" t="str">
        <x:v>Freemium</x:v>
      </x:c>
      <x:c r="I652" s="17" t="str">
        <x:v>Small</x:v>
      </x:c>
      <x:c r="J652" s="17" t="str">
        <x:v>New candidate</x:v>
      </x:c>
      <x:c r="K652" s="17" t="str">
        <x:v>Unreviewed</x:v>
      </x:c>
      <x:c r="L652" s="17"/>
      <x:c r="M652" s="17"/>
      <x:c r="N652" s="17"/>
      <x:c r="O652" s="17"/>
      <x:c r="P652" s="17"/>
      <x:c r="Q652" s="17" t="str">
        <x:f>IF(COUNT(L652:P652)&lt;5,"",ROUND((L652*25+M652*20+N652*20+O652*20+P652*15)/5,1))</x:f>
      </x:c>
      <x:c r="R652" s="18" t="str"/>
      <x:c r="S652" s="18" t="str"/>
      <x:c r="T652" s="17" t="str"/>
      <x:c r="U652" s="19"/>
    </x:row>
    <x:row r="653">
      <x:c r="A653" s="17" t="str">
        <x:v>MTS-0652</x:v>
      </x:c>
      <x:c r="B653" s="17" t="str">
        <x:v>Room Packing Checklist</x:v>
      </x:c>
      <x:c r="C653" s="17" t="str">
        <x:v>Moving and Storage</x:v>
      </x:c>
      <x:c r="D653" s="17" t="str">
        <x:v>Mobile App</x:v>
      </x:c>
      <x:c r="E653" s="17" t="str">
        <x:v>Movers and households</x:v>
      </x:c>
      <x:c r="F653" s="18" t="str">
        <x:v>Room Packing Checklist provides a focused moving and storage workflow for movers and households.</x:v>
      </x:c>
      <x:c r="G653" s="18" t="str">
        <x:v>Inventory, Camera, Labels, Estimates</x:v>
      </x:c>
      <x:c r="H653" s="17" t="str">
        <x:v>Freemium</x:v>
      </x:c>
      <x:c r="I653" s="17" t="str">
        <x:v>Small</x:v>
      </x:c>
      <x:c r="J653" s="17" t="str">
        <x:v>New candidate</x:v>
      </x:c>
      <x:c r="K653" s="17" t="str">
        <x:v>Unreviewed</x:v>
      </x:c>
      <x:c r="L653" s="17"/>
      <x:c r="M653" s="17"/>
      <x:c r="N653" s="17"/>
      <x:c r="O653" s="17"/>
      <x:c r="P653" s="17"/>
      <x:c r="Q653" s="17" t="str">
        <x:f>IF(COUNT(L653:P653)&lt;5,"",ROUND((L653*25+M653*20+N653*20+O653*20+P653*15)/5,1))</x:f>
      </x:c>
      <x:c r="R653" s="18" t="str"/>
      <x:c r="S653" s="18" t="str"/>
      <x:c r="T653" s="17" t="str"/>
      <x:c r="U653" s="19"/>
    </x:row>
    <x:row r="654">
      <x:c r="A654" s="17" t="str">
        <x:v>MTS-0653</x:v>
      </x:c>
      <x:c r="B654" s="17" t="str">
        <x:v>QR Box Labeler</x:v>
      </x:c>
      <x:c r="C654" s="17" t="str">
        <x:v>Moving and Storage</x:v>
      </x:c>
      <x:c r="D654" s="17" t="str">
        <x:v>Mobile App</x:v>
      </x:c>
      <x:c r="E654" s="17" t="str">
        <x:v>Movers and households</x:v>
      </x:c>
      <x:c r="F654" s="18" t="str">
        <x:v>QR Box Labeler provides a focused moving and storage workflow for movers and households.</x:v>
      </x:c>
      <x:c r="G654" s="18" t="str">
        <x:v>Inventory, Camera, Labels, Estimates</x:v>
      </x:c>
      <x:c r="H654" s="17" t="str">
        <x:v>Freemium</x:v>
      </x:c>
      <x:c r="I654" s="17" t="str">
        <x:v>Small</x:v>
      </x:c>
      <x:c r="J654" s="17" t="str">
        <x:v>New candidate</x:v>
      </x:c>
      <x:c r="K654" s="17" t="str">
        <x:v>Unreviewed</x:v>
      </x:c>
      <x:c r="L654" s="17"/>
      <x:c r="M654" s="17"/>
      <x:c r="N654" s="17"/>
      <x:c r="O654" s="17"/>
      <x:c r="P654" s="17"/>
      <x:c r="Q654" s="17" t="str">
        <x:f>IF(COUNT(L654:P654)&lt;5,"",ROUND((L654*25+M654*20+N654*20+O654*20+P654*15)/5,1))</x:f>
      </x:c>
      <x:c r="R654" s="18" t="str"/>
      <x:c r="S654" s="18" t="str"/>
      <x:c r="T654" s="17" t="str"/>
      <x:c r="U654" s="19"/>
    </x:row>
    <x:row r="655">
      <x:c r="A655" s="17" t="str">
        <x:v>MTS-0654</x:v>
      </x:c>
      <x:c r="B655" s="17" t="str">
        <x:v>Moving Damage Evidence</x:v>
      </x:c>
      <x:c r="C655" s="17" t="str">
        <x:v>Moving and Storage</x:v>
      </x:c>
      <x:c r="D655" s="17" t="str">
        <x:v>Mobile App</x:v>
      </x:c>
      <x:c r="E655" s="17" t="str">
        <x:v>Movers and households</x:v>
      </x:c>
      <x:c r="F655" s="18" t="str">
        <x:v>Moving Damage Evidence provides a focused moving and storage workflow for movers and households.</x:v>
      </x:c>
      <x:c r="G655" s="18" t="str">
        <x:v>Inventory, Camera, Labels, Estimates</x:v>
      </x:c>
      <x:c r="H655" s="17" t="str">
        <x:v>Freemium</x:v>
      </x:c>
      <x:c r="I655" s="17" t="str">
        <x:v>Small</x:v>
      </x:c>
      <x:c r="J655" s="17" t="str">
        <x:v>New candidate</x:v>
      </x:c>
      <x:c r="K655" s="17" t="str">
        <x:v>Unreviewed</x:v>
      </x:c>
      <x:c r="L655" s="17"/>
      <x:c r="M655" s="17"/>
      <x:c r="N655" s="17"/>
      <x:c r="O655" s="17"/>
      <x:c r="P655" s="17"/>
      <x:c r="Q655" s="17" t="str">
        <x:f>IF(COUNT(L655:P655)&lt;5,"",ROUND((L655*25+M655*20+N655*20+O655*20+P655*15)/5,1))</x:f>
      </x:c>
      <x:c r="R655" s="18" t="str"/>
      <x:c r="S655" s="18" t="str"/>
      <x:c r="T655" s="17" t="str"/>
      <x:c r="U655" s="19"/>
    </x:row>
    <x:row r="656">
      <x:c r="A656" s="17" t="str">
        <x:v>MTS-0655</x:v>
      </x:c>
      <x:c r="B656" s="17" t="str">
        <x:v>Donation Before Move Tracker</x:v>
      </x:c>
      <x:c r="C656" s="17" t="str">
        <x:v>Moving and Storage</x:v>
      </x:c>
      <x:c r="D656" s="17" t="str">
        <x:v>Mobile App</x:v>
      </x:c>
      <x:c r="E656" s="17" t="str">
        <x:v>Movers and households</x:v>
      </x:c>
      <x:c r="F656" s="18" t="str">
        <x:v>Donation Before Move Tracker provides a focused moving and storage workflow for movers and households.</x:v>
      </x:c>
      <x:c r="G656" s="18" t="str">
        <x:v>Inventory, Camera, Labels, Estimates</x:v>
      </x:c>
      <x:c r="H656" s="17" t="str">
        <x:v>Freemium</x:v>
      </x:c>
      <x:c r="I656" s="17" t="str">
        <x:v>Small</x:v>
      </x:c>
      <x:c r="J656" s="17" t="str">
        <x:v>New candidate</x:v>
      </x:c>
      <x:c r="K656" s="17" t="str">
        <x:v>Unreviewed</x:v>
      </x:c>
      <x:c r="L656" s="17"/>
      <x:c r="M656" s="17"/>
      <x:c r="N656" s="17"/>
      <x:c r="O656" s="17"/>
      <x:c r="P656" s="17"/>
      <x:c r="Q656" s="17" t="str">
        <x:f>IF(COUNT(L656:P656)&lt;5,"",ROUND((L656*25+M656*20+N656*20+O656*20+P656*15)/5,1))</x:f>
      </x:c>
      <x:c r="R656" s="18" t="str"/>
      <x:c r="S656" s="18" t="str"/>
      <x:c r="T656" s="17" t="str"/>
      <x:c r="U656" s="19"/>
    </x:row>
    <x:row r="657">
      <x:c r="A657" s="17" t="str">
        <x:v>MTS-0656</x:v>
      </x:c>
      <x:c r="B657" s="17" t="str">
        <x:v>Truck Space Estimator</x:v>
      </x:c>
      <x:c r="C657" s="17" t="str">
        <x:v>Moving and Storage</x:v>
      </x:c>
      <x:c r="D657" s="17" t="str">
        <x:v>Mobile App</x:v>
      </x:c>
      <x:c r="E657" s="17" t="str">
        <x:v>Movers and households</x:v>
      </x:c>
      <x:c r="F657" s="18" t="str">
        <x:v>Truck Space Estimator provides a focused moving and storage workflow for movers and households.</x:v>
      </x:c>
      <x:c r="G657" s="18" t="str">
        <x:v>Inventory, Camera, Labels, Estimates</x:v>
      </x:c>
      <x:c r="H657" s="17" t="str">
        <x:v>Freemium</x:v>
      </x:c>
      <x:c r="I657" s="17" t="str">
        <x:v>Small</x:v>
      </x:c>
      <x:c r="J657" s="17" t="str">
        <x:v>New candidate</x:v>
      </x:c>
      <x:c r="K657" s="17" t="str">
        <x:v>Unreviewed</x:v>
      </x:c>
      <x:c r="L657" s="17"/>
      <x:c r="M657" s="17"/>
      <x:c r="N657" s="17"/>
      <x:c r="O657" s="17"/>
      <x:c r="P657" s="17"/>
      <x:c r="Q657" s="17" t="str">
        <x:f>IF(COUNT(L657:P657)&lt;5,"",ROUND((L657*25+M657*20+N657*20+O657*20+P657*15)/5,1))</x:f>
      </x:c>
      <x:c r="R657" s="18" t="str"/>
      <x:c r="S657" s="18" t="str"/>
      <x:c r="T657" s="17" t="str"/>
      <x:c r="U657" s="19"/>
    </x:row>
    <x:row r="658">
      <x:c r="A658" s="17" t="str">
        <x:v>MTS-0657</x:v>
      </x:c>
      <x:c r="B658" s="17" t="str">
        <x:v>Mover Crew Checklist</x:v>
      </x:c>
      <x:c r="C658" s="17" t="str">
        <x:v>Moving and Storage</x:v>
      </x:c>
      <x:c r="D658" s="17" t="str">
        <x:v>Mobile App</x:v>
      </x:c>
      <x:c r="E658" s="17" t="str">
        <x:v>Movers and households</x:v>
      </x:c>
      <x:c r="F658" s="18" t="str">
        <x:v>Mover Crew Checklist provides a focused moving and storage workflow for movers and households.</x:v>
      </x:c>
      <x:c r="G658" s="18" t="str">
        <x:v>Inventory, Camera, Labels, Estimates</x:v>
      </x:c>
      <x:c r="H658" s="17" t="str">
        <x:v>Freemium</x:v>
      </x:c>
      <x:c r="I658" s="17" t="str">
        <x:v>Small</x:v>
      </x:c>
      <x:c r="J658" s="17" t="str">
        <x:v>New candidate</x:v>
      </x:c>
      <x:c r="K658" s="17" t="str">
        <x:v>Unreviewed</x:v>
      </x:c>
      <x:c r="L658" s="17"/>
      <x:c r="M658" s="17"/>
      <x:c r="N658" s="17"/>
      <x:c r="O658" s="17"/>
      <x:c r="P658" s="17"/>
      <x:c r="Q658" s="17" t="str">
        <x:f>IF(COUNT(L658:P658)&lt;5,"",ROUND((L658*25+M658*20+N658*20+O658*20+P658*15)/5,1))</x:f>
      </x:c>
      <x:c r="R658" s="18" t="str"/>
      <x:c r="S658" s="18" t="str"/>
      <x:c r="T658" s="17" t="str"/>
      <x:c r="U658" s="19"/>
    </x:row>
    <x:row r="659">
      <x:c r="A659" s="17" t="str">
        <x:v>MTS-0658</x:v>
      </x:c>
      <x:c r="B659" s="17" t="str">
        <x:v>Address Change Tracker</x:v>
      </x:c>
      <x:c r="C659" s="17" t="str">
        <x:v>Moving and Storage</x:v>
      </x:c>
      <x:c r="D659" s="17" t="str">
        <x:v>Mobile App</x:v>
      </x:c>
      <x:c r="E659" s="17" t="str">
        <x:v>Movers and households</x:v>
      </x:c>
      <x:c r="F659" s="18" t="str">
        <x:v>Address Change Tracker provides a focused moving and storage workflow for movers and households.</x:v>
      </x:c>
      <x:c r="G659" s="18" t="str">
        <x:v>Inventory, Camera, Labels, Estimates</x:v>
      </x:c>
      <x:c r="H659" s="17" t="str">
        <x:v>Freemium</x:v>
      </x:c>
      <x:c r="I659" s="17" t="str">
        <x:v>Small</x:v>
      </x:c>
      <x:c r="J659" s="17" t="str">
        <x:v>New candidate</x:v>
      </x:c>
      <x:c r="K659" s="17" t="str">
        <x:v>Unreviewed</x:v>
      </x:c>
      <x:c r="L659" s="17"/>
      <x:c r="M659" s="17"/>
      <x:c r="N659" s="17"/>
      <x:c r="O659" s="17"/>
      <x:c r="P659" s="17"/>
      <x:c r="Q659" s="17" t="str">
        <x:f>IF(COUNT(L659:P659)&lt;5,"",ROUND((L659*25+M659*20+N659*20+O659*20+P659*15)/5,1))</x:f>
      </x:c>
      <x:c r="R659" s="18" t="str"/>
      <x:c r="S659" s="18" t="str"/>
      <x:c r="T659" s="17" t="str"/>
      <x:c r="U659" s="19"/>
    </x:row>
    <x:row r="660">
      <x:c r="A660" s="17" t="str">
        <x:v>MTS-0659</x:v>
      </x:c>
      <x:c r="B660" s="17" t="str">
        <x:v>Unpacking Priority Planner</x:v>
      </x:c>
      <x:c r="C660" s="17" t="str">
        <x:v>Moving and Storage</x:v>
      </x:c>
      <x:c r="D660" s="17" t="str">
        <x:v>Mobile App</x:v>
      </x:c>
      <x:c r="E660" s="17" t="str">
        <x:v>Movers and households</x:v>
      </x:c>
      <x:c r="F660" s="18" t="str">
        <x:v>Unpacking Priority Planner provides a focused moving and storage workflow for movers and households.</x:v>
      </x:c>
      <x:c r="G660" s="18" t="str">
        <x:v>Inventory, Camera, Labels, Estimates</x:v>
      </x:c>
      <x:c r="H660" s="17" t="str">
        <x:v>Freemium</x:v>
      </x:c>
      <x:c r="I660" s="17" t="str">
        <x:v>Small</x:v>
      </x:c>
      <x:c r="J660" s="17" t="str">
        <x:v>New candidate</x:v>
      </x:c>
      <x:c r="K660" s="17" t="str">
        <x:v>Unreviewed</x:v>
      </x:c>
      <x:c r="L660" s="17"/>
      <x:c r="M660" s="17"/>
      <x:c r="N660" s="17"/>
      <x:c r="O660" s="17"/>
      <x:c r="P660" s="17"/>
      <x:c r="Q660" s="17" t="str">
        <x:f>IF(COUNT(L660:P660)&lt;5,"",ROUND((L660*25+M660*20+N660*20+O660*20+P660*15)/5,1))</x:f>
      </x:c>
      <x:c r="R660" s="18" t="str"/>
      <x:c r="S660" s="18" t="str"/>
      <x:c r="T660" s="17" t="str"/>
      <x:c r="U660" s="19"/>
    </x:row>
    <x:row r="661">
      <x:c r="A661" s="17" t="str">
        <x:v>MTS-0660</x:v>
      </x:c>
      <x:c r="B661" s="17" t="str">
        <x:v>Storage Payment Reminder</x:v>
      </x:c>
      <x:c r="C661" s="17" t="str">
        <x:v>Moving and Storage</x:v>
      </x:c>
      <x:c r="D661" s="17" t="str">
        <x:v>Mobile App</x:v>
      </x:c>
      <x:c r="E661" s="17" t="str">
        <x:v>Movers and households</x:v>
      </x:c>
      <x:c r="F661" s="18" t="str">
        <x:v>Storage Payment Reminder provides a focused moving and storage workflow for movers and households.</x:v>
      </x:c>
      <x:c r="G661" s="18" t="str">
        <x:v>Inventory, Camera, Labels, Estimates</x:v>
      </x:c>
      <x:c r="H661" s="17" t="str">
        <x:v>Freemium</x:v>
      </x:c>
      <x:c r="I661" s="17" t="str">
        <x:v>Small</x:v>
      </x:c>
      <x:c r="J661" s="17" t="str">
        <x:v>New candidate</x:v>
      </x:c>
      <x:c r="K661" s="17" t="str">
        <x:v>Unreviewed</x:v>
      </x:c>
      <x:c r="L661" s="17"/>
      <x:c r="M661" s="17"/>
      <x:c r="N661" s="17"/>
      <x:c r="O661" s="17"/>
      <x:c r="P661" s="17"/>
      <x:c r="Q661" s="17" t="str">
        <x:f>IF(COUNT(L661:P661)&lt;5,"",ROUND((L661*25+M661*20+N661*20+O661*20+P661*15)/5,1))</x:f>
      </x:c>
      <x:c r="R661" s="18" t="str"/>
      <x:c r="S661" s="18" t="str"/>
      <x:c r="T661" s="17" t="str"/>
      <x:c r="U661" s="19"/>
    </x:row>
    <x:row r="662">
      <x:c r="A662" s="17" t="str">
        <x:v>MTS-0661</x:v>
      </x:c>
      <x:c r="B662" s="17" t="str">
        <x:v>Microlearning Course Builder</x:v>
      </x:c>
      <x:c r="C662" s="17" t="str">
        <x:v>Education and Training</x:v>
      </x:c>
      <x:c r="D662" s="17" t="str">
        <x:v>Mobile + Web</x:v>
      </x:c>
      <x:c r="E662" s="17" t="str">
        <x:v>Teachers and trainers</x:v>
      </x:c>
      <x:c r="F662" s="18" t="str">
        <x:v>Microlearning Course Builder provides a focused education and training workflow for teachers and trainers.</x:v>
      </x:c>
      <x:c r="G662" s="18" t="str">
        <x:v>Content, Assessments, Progress, Reports</x:v>
      </x:c>
      <x:c r="H662" s="17" t="str">
        <x:v>Subscription</x:v>
      </x:c>
      <x:c r="I662" s="17" t="str">
        <x:v>Medium</x:v>
      </x:c>
      <x:c r="J662" s="17" t="str">
        <x:v>New candidate</x:v>
      </x:c>
      <x:c r="K662" s="17" t="str">
        <x:v>Unreviewed</x:v>
      </x:c>
      <x:c r="L662" s="17"/>
      <x:c r="M662" s="17"/>
      <x:c r="N662" s="17"/>
      <x:c r="O662" s="17"/>
      <x:c r="P662" s="17"/>
      <x:c r="Q662" s="17" t="str">
        <x:f>IF(COUNT(L662:P662)&lt;5,"",ROUND((L662*25+M662*20+N662*20+O662*20+P662*15)/5,1))</x:f>
      </x:c>
      <x:c r="R662" s="18" t="str"/>
      <x:c r="S662" s="18" t="str"/>
      <x:c r="T662" s="17" t="str"/>
      <x:c r="U662" s="19"/>
    </x:row>
    <x:row r="663">
      <x:c r="A663" s="17" t="str">
        <x:v>MTS-0662</x:v>
      </x:c>
      <x:c r="B663" s="17" t="str">
        <x:v>Skills Checklist Trainer</x:v>
      </x:c>
      <x:c r="C663" s="17" t="str">
        <x:v>Education and Training</x:v>
      </x:c>
      <x:c r="D663" s="17" t="str">
        <x:v>Mobile + Web</x:v>
      </x:c>
      <x:c r="E663" s="17" t="str">
        <x:v>Teachers and trainers</x:v>
      </x:c>
      <x:c r="F663" s="18" t="str">
        <x:v>Skills Checklist Trainer provides a focused education and training workflow for teachers and trainers.</x:v>
      </x:c>
      <x:c r="G663" s="18" t="str">
        <x:v>Content, Assessments, Progress, Reports</x:v>
      </x:c>
      <x:c r="H663" s="17" t="str">
        <x:v>Subscription</x:v>
      </x:c>
      <x:c r="I663" s="17" t="str">
        <x:v>Medium</x:v>
      </x:c>
      <x:c r="J663" s="17" t="str">
        <x:v>New candidate</x:v>
      </x:c>
      <x:c r="K663" s="17" t="str">
        <x:v>Unreviewed</x:v>
      </x:c>
      <x:c r="L663" s="17"/>
      <x:c r="M663" s="17"/>
      <x:c r="N663" s="17"/>
      <x:c r="O663" s="17"/>
      <x:c r="P663" s="17"/>
      <x:c r="Q663" s="17" t="str">
        <x:f>IF(COUNT(L663:P663)&lt;5,"",ROUND((L663*25+M663*20+N663*20+O663*20+P663*15)/5,1))</x:f>
      </x:c>
      <x:c r="R663" s="18" t="str"/>
      <x:c r="S663" s="18" t="str"/>
      <x:c r="T663" s="17" t="str"/>
      <x:c r="U663" s="19"/>
    </x:row>
    <x:row r="664">
      <x:c r="A664" s="17" t="str">
        <x:v>MTS-0663</x:v>
      </x:c>
      <x:c r="B664" s="17" t="str">
        <x:v>Practical Assessment Recorder</x:v>
      </x:c>
      <x:c r="C664" s="17" t="str">
        <x:v>Education and Training</x:v>
      </x:c>
      <x:c r="D664" s="17" t="str">
        <x:v>Mobile + Web</x:v>
      </x:c>
      <x:c r="E664" s="17" t="str">
        <x:v>Teachers and trainers</x:v>
      </x:c>
      <x:c r="F664" s="18" t="str">
        <x:v>Practical Assessment Recorder provides a focused education and training workflow for teachers and trainers.</x:v>
      </x:c>
      <x:c r="G664" s="18" t="str">
        <x:v>Content, Assessments, Progress, Reports</x:v>
      </x:c>
      <x:c r="H664" s="17" t="str">
        <x:v>Subscription</x:v>
      </x:c>
      <x:c r="I664" s="17" t="str">
        <x:v>Medium</x:v>
      </x:c>
      <x:c r="J664" s="17" t="str">
        <x:v>New candidate</x:v>
      </x:c>
      <x:c r="K664" s="17" t="str">
        <x:v>Unreviewed</x:v>
      </x:c>
      <x:c r="L664" s="17"/>
      <x:c r="M664" s="17"/>
      <x:c r="N664" s="17"/>
      <x:c r="O664" s="17"/>
      <x:c r="P664" s="17"/>
      <x:c r="Q664" s="17" t="str">
        <x:f>IF(COUNT(L664:P664)&lt;5,"",ROUND((L664*25+M664*20+N664*20+O664*20+P664*15)/5,1))</x:f>
      </x:c>
      <x:c r="R664" s="18" t="str"/>
      <x:c r="S664" s="18" t="str"/>
      <x:c r="T664" s="17" t="str"/>
      <x:c r="U664" s="19"/>
    </x:row>
    <x:row r="665">
      <x:c r="A665" s="17" t="str">
        <x:v>MTS-0664</x:v>
      </x:c>
      <x:c r="B665" s="17" t="str">
        <x:v>Classroom Equipment Log</x:v>
      </x:c>
      <x:c r="C665" s="17" t="str">
        <x:v>Education and Training</x:v>
      </x:c>
      <x:c r="D665" s="17" t="str">
        <x:v>Mobile + Web</x:v>
      </x:c>
      <x:c r="E665" s="17" t="str">
        <x:v>Teachers and trainers</x:v>
      </x:c>
      <x:c r="F665" s="18" t="str">
        <x:v>Classroom Equipment Log provides a focused education and training workflow for teachers and trainers.</x:v>
      </x:c>
      <x:c r="G665" s="18" t="str">
        <x:v>Content, Assessments, Progress, Reports</x:v>
      </x:c>
      <x:c r="H665" s="17" t="str">
        <x:v>Subscription</x:v>
      </x:c>
      <x:c r="I665" s="17" t="str">
        <x:v>Medium</x:v>
      </x:c>
      <x:c r="J665" s="17" t="str">
        <x:v>New candidate</x:v>
      </x:c>
      <x:c r="K665" s="17" t="str">
        <x:v>Unreviewed</x:v>
      </x:c>
      <x:c r="L665" s="17"/>
      <x:c r="M665" s="17"/>
      <x:c r="N665" s="17"/>
      <x:c r="O665" s="17"/>
      <x:c r="P665" s="17"/>
      <x:c r="Q665" s="17" t="str">
        <x:f>IF(COUNT(L665:P665)&lt;5,"",ROUND((L665*25+M665*20+N665*20+O665*20+P665*15)/5,1))</x:f>
      </x:c>
      <x:c r="R665" s="18" t="str"/>
      <x:c r="S665" s="18" t="str"/>
      <x:c r="T665" s="17" t="str"/>
      <x:c r="U665" s="19"/>
    </x:row>
    <x:row r="666">
      <x:c r="A666" s="17" t="str">
        <x:v>MTS-0665</x:v>
      </x:c>
      <x:c r="B666" s="17" t="str">
        <x:v>Student Project Milestones</x:v>
      </x:c>
      <x:c r="C666" s="17" t="str">
        <x:v>Education and Training</x:v>
      </x:c>
      <x:c r="D666" s="17" t="str">
        <x:v>Mobile + Web</x:v>
      </x:c>
      <x:c r="E666" s="17" t="str">
        <x:v>Teachers and trainers</x:v>
      </x:c>
      <x:c r="F666" s="18" t="str">
        <x:v>Student Project Milestones provides a focused education and training workflow for teachers and trainers.</x:v>
      </x:c>
      <x:c r="G666" s="18" t="str">
        <x:v>Content, Assessments, Progress, Reports</x:v>
      </x:c>
      <x:c r="H666" s="17" t="str">
        <x:v>Subscription</x:v>
      </x:c>
      <x:c r="I666" s="17" t="str">
        <x:v>Medium</x:v>
      </x:c>
      <x:c r="J666" s="17" t="str">
        <x:v>New candidate</x:v>
      </x:c>
      <x:c r="K666" s="17" t="str">
        <x:v>Unreviewed</x:v>
      </x:c>
      <x:c r="L666" s="17"/>
      <x:c r="M666" s="17"/>
      <x:c r="N666" s="17"/>
      <x:c r="O666" s="17"/>
      <x:c r="P666" s="17"/>
      <x:c r="Q666" s="17" t="str">
        <x:f>IF(COUNT(L666:P666)&lt;5,"",ROUND((L666*25+M666*20+N666*20+O666*20+P666*15)/5,1))</x:f>
      </x:c>
      <x:c r="R666" s="18" t="str"/>
      <x:c r="S666" s="18" t="str"/>
      <x:c r="T666" s="17" t="str"/>
      <x:c r="U666" s="19"/>
    </x:row>
    <x:row r="667">
      <x:c r="A667" s="17" t="str">
        <x:v>MTS-0666</x:v>
      </x:c>
      <x:c r="B667" s="17" t="str">
        <x:v>Training Attendance Tracker</x:v>
      </x:c>
      <x:c r="C667" s="17" t="str">
        <x:v>Education and Training</x:v>
      </x:c>
      <x:c r="D667" s="17" t="str">
        <x:v>Mobile + Web</x:v>
      </x:c>
      <x:c r="E667" s="17" t="str">
        <x:v>Teachers and trainers</x:v>
      </x:c>
      <x:c r="F667" s="18" t="str">
        <x:v>Training Attendance Tracker provides a focused education and training workflow for teachers and trainers.</x:v>
      </x:c>
      <x:c r="G667" s="18" t="str">
        <x:v>Content, Assessments, Progress, Reports</x:v>
      </x:c>
      <x:c r="H667" s="17" t="str">
        <x:v>Subscription</x:v>
      </x:c>
      <x:c r="I667" s="17" t="str">
        <x:v>Medium</x:v>
      </x:c>
      <x:c r="J667" s="17" t="str">
        <x:v>New candidate</x:v>
      </x:c>
      <x:c r="K667" s="17" t="str">
        <x:v>Unreviewed</x:v>
      </x:c>
      <x:c r="L667" s="17"/>
      <x:c r="M667" s="17"/>
      <x:c r="N667" s="17"/>
      <x:c r="O667" s="17"/>
      <x:c r="P667" s="17"/>
      <x:c r="Q667" s="17" t="str">
        <x:f>IF(COUNT(L667:P667)&lt;5,"",ROUND((L667*25+M667*20+N667*20+O667*20+P667*15)/5,1))</x:f>
      </x:c>
      <x:c r="R667" s="18" t="str"/>
      <x:c r="S667" s="18" t="str"/>
      <x:c r="T667" s="17" t="str"/>
      <x:c r="U667" s="19"/>
    </x:row>
    <x:row r="668">
      <x:c r="A668" s="17" t="str">
        <x:v>MTS-0667</x:v>
      </x:c>
      <x:c r="B668" s="17" t="str">
        <x:v>Certification Expiration Board</x:v>
      </x:c>
      <x:c r="C668" s="17" t="str">
        <x:v>Education and Training</x:v>
      </x:c>
      <x:c r="D668" s="17" t="str">
        <x:v>Mobile + Web</x:v>
      </x:c>
      <x:c r="E668" s="17" t="str">
        <x:v>Teachers and trainers</x:v>
      </x:c>
      <x:c r="F668" s="18" t="str">
        <x:v>Certification Expiration Board provides a focused education and training workflow for teachers and trainers.</x:v>
      </x:c>
      <x:c r="G668" s="18" t="str">
        <x:v>Content, Assessments, Progress, Reports</x:v>
      </x:c>
      <x:c r="H668" s="17" t="str">
        <x:v>Subscription</x:v>
      </x:c>
      <x:c r="I668" s="17" t="str">
        <x:v>Medium</x:v>
      </x:c>
      <x:c r="J668" s="17" t="str">
        <x:v>New candidate</x:v>
      </x:c>
      <x:c r="K668" s="17" t="str">
        <x:v>Unreviewed</x:v>
      </x:c>
      <x:c r="L668" s="17"/>
      <x:c r="M668" s="17"/>
      <x:c r="N668" s="17"/>
      <x:c r="O668" s="17"/>
      <x:c r="P668" s="17"/>
      <x:c r="Q668" s="17" t="str">
        <x:f>IF(COUNT(L668:P668)&lt;5,"",ROUND((L668*25+M668*20+N668*20+O668*20+P668*15)/5,1))</x:f>
      </x:c>
      <x:c r="R668" s="18" t="str"/>
      <x:c r="S668" s="18" t="str"/>
      <x:c r="T668" s="17" t="str"/>
      <x:c r="U668" s="19"/>
    </x:row>
    <x:row r="669">
      <x:c r="A669" s="17" t="str">
        <x:v>MTS-0668</x:v>
      </x:c>
      <x:c r="B669" s="17" t="str">
        <x:v>Study Session Planner</x:v>
      </x:c>
      <x:c r="C669" s="17" t="str">
        <x:v>Education and Training</x:v>
      </x:c>
      <x:c r="D669" s="17" t="str">
        <x:v>Mobile + Web</x:v>
      </x:c>
      <x:c r="E669" s="17" t="str">
        <x:v>Teachers and trainers</x:v>
      </x:c>
      <x:c r="F669" s="18" t="str">
        <x:v>Study Session Planner provides a focused education and training workflow for teachers and trainers.</x:v>
      </x:c>
      <x:c r="G669" s="18" t="str">
        <x:v>Content, Assessments, Progress, Reports</x:v>
      </x:c>
      <x:c r="H669" s="17" t="str">
        <x:v>Subscription</x:v>
      </x:c>
      <x:c r="I669" s="17" t="str">
        <x:v>Medium</x:v>
      </x:c>
      <x:c r="J669" s="17" t="str">
        <x:v>New candidate</x:v>
      </x:c>
      <x:c r="K669" s="17" t="str">
        <x:v>Unreviewed</x:v>
      </x:c>
      <x:c r="L669" s="17"/>
      <x:c r="M669" s="17"/>
      <x:c r="N669" s="17"/>
      <x:c r="O669" s="17"/>
      <x:c r="P669" s="17"/>
      <x:c r="Q669" s="17" t="str">
        <x:f>IF(COUNT(L669:P669)&lt;5,"",ROUND((L669*25+M669*20+N669*20+O669*20+P669*15)/5,1))</x:f>
      </x:c>
      <x:c r="R669" s="18" t="str"/>
      <x:c r="S669" s="18" t="str"/>
      <x:c r="T669" s="17" t="str"/>
      <x:c r="U669" s="19"/>
    </x:row>
    <x:row r="670">
      <x:c r="A670" s="17" t="str">
        <x:v>MTS-0669</x:v>
      </x:c>
      <x:c r="B670" s="17" t="str">
        <x:v>Flashcard Pack Builder</x:v>
      </x:c>
      <x:c r="C670" s="17" t="str">
        <x:v>Education and Training</x:v>
      </x:c>
      <x:c r="D670" s="17" t="str">
        <x:v>Mobile + Web</x:v>
      </x:c>
      <x:c r="E670" s="17" t="str">
        <x:v>Teachers and trainers</x:v>
      </x:c>
      <x:c r="F670" s="18" t="str">
        <x:v>Flashcard Pack Builder provides a focused education and training workflow for teachers and trainers.</x:v>
      </x:c>
      <x:c r="G670" s="18" t="str">
        <x:v>Content, Assessments, Progress, Reports</x:v>
      </x:c>
      <x:c r="H670" s="17" t="str">
        <x:v>Subscription</x:v>
      </x:c>
      <x:c r="I670" s="17" t="str">
        <x:v>Medium</x:v>
      </x:c>
      <x:c r="J670" s="17" t="str">
        <x:v>New candidate</x:v>
      </x:c>
      <x:c r="K670" s="17" t="str">
        <x:v>Unreviewed</x:v>
      </x:c>
      <x:c r="L670" s="17"/>
      <x:c r="M670" s="17"/>
      <x:c r="N670" s="17"/>
      <x:c r="O670" s="17"/>
      <x:c r="P670" s="17"/>
      <x:c r="Q670" s="17" t="str">
        <x:f>IF(COUNT(L670:P670)&lt;5,"",ROUND((L670*25+M670*20+N670*20+O670*20+P670*15)/5,1))</x:f>
      </x:c>
      <x:c r="R670" s="18" t="str"/>
      <x:c r="S670" s="18" t="str"/>
      <x:c r="T670" s="17" t="str"/>
      <x:c r="U670" s="19"/>
    </x:row>
    <x:row r="671">
      <x:c r="A671" s="17" t="str">
        <x:v>MTS-0670</x:v>
      </x:c>
      <x:c r="B671" s="17" t="str">
        <x:v>Lab Safety Checklist</x:v>
      </x:c>
      <x:c r="C671" s="17" t="str">
        <x:v>Education and Training</x:v>
      </x:c>
      <x:c r="D671" s="17" t="str">
        <x:v>Mobile + Web</x:v>
      </x:c>
      <x:c r="E671" s="17" t="str">
        <x:v>Teachers and trainers</x:v>
      </x:c>
      <x:c r="F671" s="18" t="str">
        <x:v>Lab Safety Checklist provides a focused education and training workflow for teachers and trainers.</x:v>
      </x:c>
      <x:c r="G671" s="18" t="str">
        <x:v>Content, Assessments, Progress, Reports</x:v>
      </x:c>
      <x:c r="H671" s="17" t="str">
        <x:v>Subscription</x:v>
      </x:c>
      <x:c r="I671" s="17" t="str">
        <x:v>Medium</x:v>
      </x:c>
      <x:c r="J671" s="17" t="str">
        <x:v>New candidate</x:v>
      </x:c>
      <x:c r="K671" s="17" t="str">
        <x:v>Unreviewed</x:v>
      </x:c>
      <x:c r="L671" s="17"/>
      <x:c r="M671" s="17"/>
      <x:c r="N671" s="17"/>
      <x:c r="O671" s="17"/>
      <x:c r="P671" s="17"/>
      <x:c r="Q671" s="17" t="str">
        <x:f>IF(COUNT(L671:P671)&lt;5,"",ROUND((L671*25+M671*20+N671*20+O671*20+P671*15)/5,1))</x:f>
      </x:c>
      <x:c r="R671" s="18" t="str"/>
      <x:c r="S671" s="18" t="str"/>
      <x:c r="T671" s="17" t="str"/>
      <x:c r="U671" s="19"/>
    </x:row>
    <x:row r="672">
      <x:c r="A672" s="17" t="str">
        <x:v>MTS-0671</x:v>
      </x:c>
      <x:c r="B672" s="17" t="str">
        <x:v>Field Trip Organizer</x:v>
      </x:c>
      <x:c r="C672" s="17" t="str">
        <x:v>Education and Training</x:v>
      </x:c>
      <x:c r="D672" s="17" t="str">
        <x:v>Mobile + Web</x:v>
      </x:c>
      <x:c r="E672" s="17" t="str">
        <x:v>Teachers and trainers</x:v>
      </x:c>
      <x:c r="F672" s="18" t="str">
        <x:v>Field Trip Organizer provides a focused education and training workflow for teachers and trainers.</x:v>
      </x:c>
      <x:c r="G672" s="18" t="str">
        <x:v>Content, Assessments, Progress, Reports</x:v>
      </x:c>
      <x:c r="H672" s="17" t="str">
        <x:v>Subscription</x:v>
      </x:c>
      <x:c r="I672" s="17" t="str">
        <x:v>Medium</x:v>
      </x:c>
      <x:c r="J672" s="17" t="str">
        <x:v>New candidate</x:v>
      </x:c>
      <x:c r="K672" s="17" t="str">
        <x:v>Unreviewed</x:v>
      </x:c>
      <x:c r="L672" s="17"/>
      <x:c r="M672" s="17"/>
      <x:c r="N672" s="17"/>
      <x:c r="O672" s="17"/>
      <x:c r="P672" s="17"/>
      <x:c r="Q672" s="17" t="str">
        <x:f>IF(COUNT(L672:P672)&lt;5,"",ROUND((L672*25+M672*20+N672*20+O672*20+P672*15)/5,1))</x:f>
      </x:c>
      <x:c r="R672" s="18" t="str"/>
      <x:c r="S672" s="18" t="str"/>
      <x:c r="T672" s="17" t="str"/>
      <x:c r="U672" s="19"/>
    </x:row>
    <x:row r="673">
      <x:c r="A673" s="17" t="str">
        <x:v>MTS-0672</x:v>
      </x:c>
      <x:c r="B673" s="17" t="str">
        <x:v>Tutor Session Reporter</x:v>
      </x:c>
      <x:c r="C673" s="17" t="str">
        <x:v>Education and Training</x:v>
      </x:c>
      <x:c r="D673" s="17" t="str">
        <x:v>Mobile + Web</x:v>
      </x:c>
      <x:c r="E673" s="17" t="str">
        <x:v>Teachers and trainers</x:v>
      </x:c>
      <x:c r="F673" s="18" t="str">
        <x:v>Tutor Session Reporter provides a focused education and training workflow for teachers and trainers.</x:v>
      </x:c>
      <x:c r="G673" s="18" t="str">
        <x:v>Content, Assessments, Progress, Reports</x:v>
      </x:c>
      <x:c r="H673" s="17" t="str">
        <x:v>Subscription</x:v>
      </x:c>
      <x:c r="I673" s="17" t="str">
        <x:v>Medium</x:v>
      </x:c>
      <x:c r="J673" s="17" t="str">
        <x:v>New candidate</x:v>
      </x:c>
      <x:c r="K673" s="17" t="str">
        <x:v>Unreviewed</x:v>
      </x:c>
      <x:c r="L673" s="17"/>
      <x:c r="M673" s="17"/>
      <x:c r="N673" s="17"/>
      <x:c r="O673" s="17"/>
      <x:c r="P673" s="17"/>
      <x:c r="Q673" s="17" t="str">
        <x:f>IF(COUNT(L673:P673)&lt;5,"",ROUND((L673*25+M673*20+N673*20+O673*20+P673*15)/5,1))</x:f>
      </x:c>
      <x:c r="R673" s="18" t="str"/>
      <x:c r="S673" s="18" t="str"/>
      <x:c r="T673" s="17" t="str"/>
      <x:c r="U673" s="19"/>
    </x:row>
    <x:row r="674">
      <x:c r="A674" s="17" t="str">
        <x:v>MTS-0673</x:v>
      </x:c>
      <x:c r="B674" s="17" t="str">
        <x:v>Team Practice Planner</x:v>
      </x:c>
      <x:c r="C674" s="17" t="str">
        <x:v>Sports and Fitness</x:v>
      </x:c>
      <x:c r="D674" s="17" t="str">
        <x:v>Mobile App</x:v>
      </x:c>
      <x:c r="E674" s="17" t="str">
        <x:v>Athletes and coaches</x:v>
      </x:c>
      <x:c r="F674" s="18" t="str">
        <x:v>Team Practice Planner provides a focused sports and fitness workflow for athletes and coaches.</x:v>
      </x:c>
      <x:c r="G674" s="18" t="str">
        <x:v>Tracking, Timer, Plans, Reports</x:v>
      </x:c>
      <x:c r="H674" s="17" t="str">
        <x:v>Freemium</x:v>
      </x:c>
      <x:c r="I674" s="17" t="str">
        <x:v>Medium</x:v>
      </x:c>
      <x:c r="J674" s="17" t="str">
        <x:v>New candidate</x:v>
      </x:c>
      <x:c r="K674" s="17" t="str">
        <x:v>Unreviewed</x:v>
      </x:c>
      <x:c r="L674" s="17"/>
      <x:c r="M674" s="17"/>
      <x:c r="N674" s="17"/>
      <x:c r="O674" s="17"/>
      <x:c r="P674" s="17"/>
      <x:c r="Q674" s="17" t="str">
        <x:f>IF(COUNT(L674:P674)&lt;5,"",ROUND((L674*25+M674*20+N674*20+O674*20+P674*15)/5,1))</x:f>
      </x:c>
      <x:c r="R674" s="18" t="str"/>
      <x:c r="S674" s="18" t="str"/>
      <x:c r="T674" s="17" t="str"/>
      <x:c r="U674" s="19"/>
    </x:row>
    <x:row r="675">
      <x:c r="A675" s="17" t="str">
        <x:v>MTS-0674</x:v>
      </x:c>
      <x:c r="B675" s="17" t="str">
        <x:v>Workout Interval Timer</x:v>
      </x:c>
      <x:c r="C675" s="17" t="str">
        <x:v>Sports and Fitness</x:v>
      </x:c>
      <x:c r="D675" s="17" t="str">
        <x:v>Mobile App</x:v>
      </x:c>
      <x:c r="E675" s="17" t="str">
        <x:v>Athletes and coaches</x:v>
      </x:c>
      <x:c r="F675" s="18" t="str">
        <x:v>Workout Interval Timer provides a focused sports and fitness workflow for athletes and coaches.</x:v>
      </x:c>
      <x:c r="G675" s="18" t="str">
        <x:v>Tracking, Timer, Plans, Reports</x:v>
      </x:c>
      <x:c r="H675" s="17" t="str">
        <x:v>Freemium</x:v>
      </x:c>
      <x:c r="I675" s="17" t="str">
        <x:v>Medium</x:v>
      </x:c>
      <x:c r="J675" s="17" t="str">
        <x:v>New candidate</x:v>
      </x:c>
      <x:c r="K675" s="17" t="str">
        <x:v>Unreviewed</x:v>
      </x:c>
      <x:c r="L675" s="17"/>
      <x:c r="M675" s="17"/>
      <x:c r="N675" s="17"/>
      <x:c r="O675" s="17"/>
      <x:c r="P675" s="17"/>
      <x:c r="Q675" s="17" t="str">
        <x:f>IF(COUNT(L675:P675)&lt;5,"",ROUND((L675*25+M675*20+N675*20+O675*20+P675*15)/5,1))</x:f>
      </x:c>
      <x:c r="R675" s="18" t="str"/>
      <x:c r="S675" s="18" t="str"/>
      <x:c r="T675" s="17" t="str"/>
      <x:c r="U675" s="19"/>
    </x:row>
    <x:row r="676">
      <x:c r="A676" s="17" t="str">
        <x:v>MTS-0675</x:v>
      </x:c>
      <x:c r="B676" s="17" t="str">
        <x:v>Sports Equipment Inventory</x:v>
      </x:c>
      <x:c r="C676" s="17" t="str">
        <x:v>Sports and Fitness</x:v>
      </x:c>
      <x:c r="D676" s="17" t="str">
        <x:v>Mobile App</x:v>
      </x:c>
      <x:c r="E676" s="17" t="str">
        <x:v>Athletes and coaches</x:v>
      </x:c>
      <x:c r="F676" s="18" t="str">
        <x:v>Sports Equipment Inventory provides a focused sports and fitness workflow for athletes and coaches.</x:v>
      </x:c>
      <x:c r="G676" s="18" t="str">
        <x:v>Tracking, Timer, Plans, Reports</x:v>
      </x:c>
      <x:c r="H676" s="17" t="str">
        <x:v>Freemium</x:v>
      </x:c>
      <x:c r="I676" s="17" t="str">
        <x:v>Medium</x:v>
      </x:c>
      <x:c r="J676" s="17" t="str">
        <x:v>New candidate</x:v>
      </x:c>
      <x:c r="K676" s="17" t="str">
        <x:v>Unreviewed</x:v>
      </x:c>
      <x:c r="L676" s="17"/>
      <x:c r="M676" s="17"/>
      <x:c r="N676" s="17"/>
      <x:c r="O676" s="17"/>
      <x:c r="P676" s="17"/>
      <x:c r="Q676" s="17" t="str">
        <x:f>IF(COUNT(L676:P676)&lt;5,"",ROUND((L676*25+M676*20+N676*20+O676*20+P676*15)/5,1))</x:f>
      </x:c>
      <x:c r="R676" s="18" t="str"/>
      <x:c r="S676" s="18" t="str"/>
      <x:c r="T676" s="17" t="str"/>
      <x:c r="U676" s="19"/>
    </x:row>
    <x:row r="677">
      <x:c r="A677" s="17" t="str">
        <x:v>MTS-0676</x:v>
      </x:c>
      <x:c r="B677" s="17" t="str">
        <x:v>Player Attendance Tracker</x:v>
      </x:c>
      <x:c r="C677" s="17" t="str">
        <x:v>Sports and Fitness</x:v>
      </x:c>
      <x:c r="D677" s="17" t="str">
        <x:v>Mobile App</x:v>
      </x:c>
      <x:c r="E677" s="17" t="str">
        <x:v>Athletes and coaches</x:v>
      </x:c>
      <x:c r="F677" s="18" t="str">
        <x:v>Player Attendance Tracker provides a focused sports and fitness workflow for athletes and coaches.</x:v>
      </x:c>
      <x:c r="G677" s="18" t="str">
        <x:v>Tracking, Timer, Plans, Reports</x:v>
      </x:c>
      <x:c r="H677" s="17" t="str">
        <x:v>Freemium</x:v>
      </x:c>
      <x:c r="I677" s="17" t="str">
        <x:v>Medium</x:v>
      </x:c>
      <x:c r="J677" s="17" t="str">
        <x:v>New candidate</x:v>
      </x:c>
      <x:c r="K677" s="17" t="str">
        <x:v>Unreviewed</x:v>
      </x:c>
      <x:c r="L677" s="17"/>
      <x:c r="M677" s="17"/>
      <x:c r="N677" s="17"/>
      <x:c r="O677" s="17"/>
      <x:c r="P677" s="17"/>
      <x:c r="Q677" s="17" t="str">
        <x:f>IF(COUNT(L677:P677)&lt;5,"",ROUND((L677*25+M677*20+N677*20+O677*20+P677*15)/5,1))</x:f>
      </x:c>
      <x:c r="R677" s="18" t="str"/>
      <x:c r="S677" s="18" t="str"/>
      <x:c r="T677" s="17" t="str"/>
      <x:c r="U677" s="19"/>
    </x:row>
    <x:row r="678">
      <x:c r="A678" s="17" t="str">
        <x:v>MTS-0677</x:v>
      </x:c>
      <x:c r="B678" s="17" t="str">
        <x:v>Drill Library Organizer</x:v>
      </x:c>
      <x:c r="C678" s="17" t="str">
        <x:v>Sports and Fitness</x:v>
      </x:c>
      <x:c r="D678" s="17" t="str">
        <x:v>Mobile App</x:v>
      </x:c>
      <x:c r="E678" s="17" t="str">
        <x:v>Athletes and coaches</x:v>
      </x:c>
      <x:c r="F678" s="18" t="str">
        <x:v>Drill Library Organizer provides a focused sports and fitness workflow for athletes and coaches.</x:v>
      </x:c>
      <x:c r="G678" s="18" t="str">
        <x:v>Tracking, Timer, Plans, Reports</x:v>
      </x:c>
      <x:c r="H678" s="17" t="str">
        <x:v>Freemium</x:v>
      </x:c>
      <x:c r="I678" s="17" t="str">
        <x:v>Medium</x:v>
      </x:c>
      <x:c r="J678" s="17" t="str">
        <x:v>New candidate</x:v>
      </x:c>
      <x:c r="K678" s="17" t="str">
        <x:v>Unreviewed</x:v>
      </x:c>
      <x:c r="L678" s="17"/>
      <x:c r="M678" s="17"/>
      <x:c r="N678" s="17"/>
      <x:c r="O678" s="17"/>
      <x:c r="P678" s="17"/>
      <x:c r="Q678" s="17" t="str">
        <x:f>IF(COUNT(L678:P678)&lt;5,"",ROUND((L678*25+M678*20+N678*20+O678*20+P678*15)/5,1))</x:f>
      </x:c>
      <x:c r="R678" s="18" t="str"/>
      <x:c r="S678" s="18" t="str"/>
      <x:c r="T678" s="17" t="str"/>
      <x:c r="U678" s="19"/>
    </x:row>
    <x:row r="679">
      <x:c r="A679" s="17" t="str">
        <x:v>MTS-0678</x:v>
      </x:c>
      <x:c r="B679" s="17" t="str">
        <x:v>Tournament Travel Checklist</x:v>
      </x:c>
      <x:c r="C679" s="17" t="str">
        <x:v>Sports and Fitness</x:v>
      </x:c>
      <x:c r="D679" s="17" t="str">
        <x:v>Mobile App</x:v>
      </x:c>
      <x:c r="E679" s="17" t="str">
        <x:v>Athletes and coaches</x:v>
      </x:c>
      <x:c r="F679" s="18" t="str">
        <x:v>Tournament Travel Checklist provides a focused sports and fitness workflow for athletes and coaches.</x:v>
      </x:c>
      <x:c r="G679" s="18" t="str">
        <x:v>Tracking, Timer, Plans, Reports</x:v>
      </x:c>
      <x:c r="H679" s="17" t="str">
        <x:v>Freemium</x:v>
      </x:c>
      <x:c r="I679" s="17" t="str">
        <x:v>Medium</x:v>
      </x:c>
      <x:c r="J679" s="17" t="str">
        <x:v>New candidate</x:v>
      </x:c>
      <x:c r="K679" s="17" t="str">
        <x:v>Unreviewed</x:v>
      </x:c>
      <x:c r="L679" s="17"/>
      <x:c r="M679" s="17"/>
      <x:c r="N679" s="17"/>
      <x:c r="O679" s="17"/>
      <x:c r="P679" s="17"/>
      <x:c r="Q679" s="17" t="str">
        <x:f>IF(COUNT(L679:P679)&lt;5,"",ROUND((L679*25+M679*20+N679*20+O679*20+P679*15)/5,1))</x:f>
      </x:c>
      <x:c r="R679" s="18" t="str"/>
      <x:c r="S679" s="18" t="str"/>
      <x:c r="T679" s="17" t="str"/>
      <x:c r="U679" s="19"/>
    </x:row>
    <x:row r="680">
      <x:c r="A680" s="17" t="str">
        <x:v>MTS-0679</x:v>
      </x:c>
      <x:c r="B680" s="17" t="str">
        <x:v>Personal Record Tracker</x:v>
      </x:c>
      <x:c r="C680" s="17" t="str">
        <x:v>Sports and Fitness</x:v>
      </x:c>
      <x:c r="D680" s="17" t="str">
        <x:v>Mobile App</x:v>
      </x:c>
      <x:c r="E680" s="17" t="str">
        <x:v>Athletes and coaches</x:v>
      </x:c>
      <x:c r="F680" s="18" t="str">
        <x:v>Personal Record Tracker provides a focused sports and fitness workflow for athletes and coaches.</x:v>
      </x:c>
      <x:c r="G680" s="18" t="str">
        <x:v>Tracking, Timer, Plans, Reports</x:v>
      </x:c>
      <x:c r="H680" s="17" t="str">
        <x:v>Freemium</x:v>
      </x:c>
      <x:c r="I680" s="17" t="str">
        <x:v>Medium</x:v>
      </x:c>
      <x:c r="J680" s="17" t="str">
        <x:v>New candidate</x:v>
      </x:c>
      <x:c r="K680" s="17" t="str">
        <x:v>Unreviewed</x:v>
      </x:c>
      <x:c r="L680" s="17"/>
      <x:c r="M680" s="17"/>
      <x:c r="N680" s="17"/>
      <x:c r="O680" s="17"/>
      <x:c r="P680" s="17"/>
      <x:c r="Q680" s="17" t="str">
        <x:f>IF(COUNT(L680:P680)&lt;5,"",ROUND((L680*25+M680*20+N680*20+O680*20+P680*15)/5,1))</x:f>
      </x:c>
      <x:c r="R680" s="18" t="str"/>
      <x:c r="S680" s="18" t="str"/>
      <x:c r="T680" s="17" t="str"/>
      <x:c r="U680" s="19"/>
    </x:row>
    <x:row r="681">
      <x:c r="A681" s="17" t="str">
        <x:v>MTS-0680</x:v>
      </x:c>
      <x:c r="B681" s="17" t="str">
        <x:v>Recovery Readiness Journal</x:v>
      </x:c>
      <x:c r="C681" s="17" t="str">
        <x:v>Sports and Fitness</x:v>
      </x:c>
      <x:c r="D681" s="17" t="str">
        <x:v>Mobile App</x:v>
      </x:c>
      <x:c r="E681" s="17" t="str">
        <x:v>Athletes and coaches</x:v>
      </x:c>
      <x:c r="F681" s="18" t="str">
        <x:v>Recovery Readiness Journal provides a focused sports and fitness workflow for athletes and coaches.</x:v>
      </x:c>
      <x:c r="G681" s="18" t="str">
        <x:v>Tracking, Timer, Plans, Reports</x:v>
      </x:c>
      <x:c r="H681" s="17" t="str">
        <x:v>Freemium</x:v>
      </x:c>
      <x:c r="I681" s="17" t="str">
        <x:v>Medium</x:v>
      </x:c>
      <x:c r="J681" s="17" t="str">
        <x:v>New candidate</x:v>
      </x:c>
      <x:c r="K681" s="17" t="str">
        <x:v>Unreviewed</x:v>
      </x:c>
      <x:c r="L681" s="17"/>
      <x:c r="M681" s="17"/>
      <x:c r="N681" s="17"/>
      <x:c r="O681" s="17"/>
      <x:c r="P681" s="17"/>
      <x:c r="Q681" s="17" t="str">
        <x:f>IF(COUNT(L681:P681)&lt;5,"",ROUND((L681*25+M681*20+N681*20+O681*20+P681*15)/5,1))</x:f>
      </x:c>
      <x:c r="R681" s="18" t="str"/>
      <x:c r="S681" s="18" t="str"/>
      <x:c r="T681" s="17" t="str"/>
      <x:c r="U681" s="19"/>
    </x:row>
    <x:row r="682">
      <x:c r="A682" s="17" t="str">
        <x:v>MTS-0681</x:v>
      </x:c>
      <x:c r="B682" s="17" t="str">
        <x:v>Coach Session Notes</x:v>
      </x:c>
      <x:c r="C682" s="17" t="str">
        <x:v>Sports and Fitness</x:v>
      </x:c>
      <x:c r="D682" s="17" t="str">
        <x:v>Mobile App</x:v>
      </x:c>
      <x:c r="E682" s="17" t="str">
        <x:v>Athletes and coaches</x:v>
      </x:c>
      <x:c r="F682" s="18" t="str">
        <x:v>Coach Session Notes provides a focused sports and fitness workflow for athletes and coaches.</x:v>
      </x:c>
      <x:c r="G682" s="18" t="str">
        <x:v>Tracking, Timer, Plans, Reports</x:v>
      </x:c>
      <x:c r="H682" s="17" t="str">
        <x:v>Freemium</x:v>
      </x:c>
      <x:c r="I682" s="17" t="str">
        <x:v>Medium</x:v>
      </x:c>
      <x:c r="J682" s="17" t="str">
        <x:v>New candidate</x:v>
      </x:c>
      <x:c r="K682" s="17" t="str">
        <x:v>Unreviewed</x:v>
      </x:c>
      <x:c r="L682" s="17"/>
      <x:c r="M682" s="17"/>
      <x:c r="N682" s="17"/>
      <x:c r="O682" s="17"/>
      <x:c r="P682" s="17"/>
      <x:c r="Q682" s="17" t="str">
        <x:f>IF(COUNT(L682:P682)&lt;5,"",ROUND((L682*25+M682*20+N682*20+O682*20+P682*15)/5,1))</x:f>
      </x:c>
      <x:c r="R682" s="18" t="str"/>
      <x:c r="S682" s="18" t="str"/>
      <x:c r="T682" s="17" t="str"/>
      <x:c r="U682" s="19"/>
    </x:row>
    <x:row r="683">
      <x:c r="A683" s="17" t="str">
        <x:v>MTS-0682</x:v>
      </x:c>
      <x:c r="B683" s="17" t="str">
        <x:v>Race Pace Calculator</x:v>
      </x:c>
      <x:c r="C683" s="17" t="str">
        <x:v>Sports and Fitness</x:v>
      </x:c>
      <x:c r="D683" s="17" t="str">
        <x:v>Mobile App</x:v>
      </x:c>
      <x:c r="E683" s="17" t="str">
        <x:v>Athletes and coaches</x:v>
      </x:c>
      <x:c r="F683" s="18" t="str">
        <x:v>Race Pace Calculator provides a focused sports and fitness workflow for athletes and coaches.</x:v>
      </x:c>
      <x:c r="G683" s="18" t="str">
        <x:v>Tracking, Timer, Plans, Reports</x:v>
      </x:c>
      <x:c r="H683" s="17" t="str">
        <x:v>Freemium</x:v>
      </x:c>
      <x:c r="I683" s="17" t="str">
        <x:v>Medium</x:v>
      </x:c>
      <x:c r="J683" s="17" t="str">
        <x:v>New candidate</x:v>
      </x:c>
      <x:c r="K683" s="17" t="str">
        <x:v>Unreviewed</x:v>
      </x:c>
      <x:c r="L683" s="17"/>
      <x:c r="M683" s="17"/>
      <x:c r="N683" s="17"/>
      <x:c r="O683" s="17"/>
      <x:c r="P683" s="17"/>
      <x:c r="Q683" s="17" t="str">
        <x:f>IF(COUNT(L683:P683)&lt;5,"",ROUND((L683*25+M683*20+N683*20+O683*20+P683*15)/5,1))</x:f>
      </x:c>
      <x:c r="R683" s="18" t="str"/>
      <x:c r="S683" s="18" t="str"/>
      <x:c r="T683" s="17" t="str"/>
      <x:c r="U683" s="19"/>
    </x:row>
    <x:row r="684">
      <x:c r="A684" s="17" t="str">
        <x:v>MTS-0683</x:v>
      </x:c>
      <x:c r="B684" s="17" t="str">
        <x:v>Team Uniform Inventory</x:v>
      </x:c>
      <x:c r="C684" s="17" t="str">
        <x:v>Sports and Fitness</x:v>
      </x:c>
      <x:c r="D684" s="17" t="str">
        <x:v>Mobile App</x:v>
      </x:c>
      <x:c r="E684" s="17" t="str">
        <x:v>Athletes and coaches</x:v>
      </x:c>
      <x:c r="F684" s="18" t="str">
        <x:v>Team Uniform Inventory provides a focused sports and fitness workflow for athletes and coaches.</x:v>
      </x:c>
      <x:c r="G684" s="18" t="str">
        <x:v>Tracking, Timer, Plans, Reports</x:v>
      </x:c>
      <x:c r="H684" s="17" t="str">
        <x:v>Freemium</x:v>
      </x:c>
      <x:c r="I684" s="17" t="str">
        <x:v>Medium</x:v>
      </x:c>
      <x:c r="J684" s="17" t="str">
        <x:v>New candidate</x:v>
      </x:c>
      <x:c r="K684" s="17" t="str">
        <x:v>Unreviewed</x:v>
      </x:c>
      <x:c r="L684" s="17"/>
      <x:c r="M684" s="17"/>
      <x:c r="N684" s="17"/>
      <x:c r="O684" s="17"/>
      <x:c r="P684" s="17"/>
      <x:c r="Q684" s="17" t="str">
        <x:f>IF(COUNT(L684:P684)&lt;5,"",ROUND((L684*25+M684*20+N684*20+O684*20+P684*15)/5,1))</x:f>
      </x:c>
      <x:c r="R684" s="18" t="str"/>
      <x:c r="S684" s="18" t="str"/>
      <x:c r="T684" s="17" t="str"/>
      <x:c r="U684" s="19"/>
    </x:row>
    <x:row r="685">
      <x:c r="A685" s="17" t="str">
        <x:v>MTS-0684</x:v>
      </x:c>
      <x:c r="B685" s="17" t="str">
        <x:v>Fitness Challenge Manager</x:v>
      </x:c>
      <x:c r="C685" s="17" t="str">
        <x:v>Sports and Fitness</x:v>
      </x:c>
      <x:c r="D685" s="17" t="str">
        <x:v>Mobile App</x:v>
      </x:c>
      <x:c r="E685" s="17" t="str">
        <x:v>Athletes and coaches</x:v>
      </x:c>
      <x:c r="F685" s="18" t="str">
        <x:v>Fitness Challenge Manager provides a focused sports and fitness workflow for athletes and coaches.</x:v>
      </x:c>
      <x:c r="G685" s="18" t="str">
        <x:v>Tracking, Timer, Plans, Reports</x:v>
      </x:c>
      <x:c r="H685" s="17" t="str">
        <x:v>Freemium</x:v>
      </x:c>
      <x:c r="I685" s="17" t="str">
        <x:v>Medium</x:v>
      </x:c>
      <x:c r="J685" s="17" t="str">
        <x:v>New candidate</x:v>
      </x:c>
      <x:c r="K685" s="17" t="str">
        <x:v>Unreviewed</x:v>
      </x:c>
      <x:c r="L685" s="17"/>
      <x:c r="M685" s="17"/>
      <x:c r="N685" s="17"/>
      <x:c r="O685" s="17"/>
      <x:c r="P685" s="17"/>
      <x:c r="Q685" s="17" t="str">
        <x:f>IF(COUNT(L685:P685)&lt;5,"",ROUND((L685*25+M685*20+N685*20+O685*20+P685*15)/5,1))</x:f>
      </x:c>
      <x:c r="R685" s="18" t="str"/>
      <x:c r="S685" s="18" t="str"/>
      <x:c r="T685" s="17" t="str"/>
      <x:c r="U685" s="19"/>
    </x:row>
    <x:row r="686">
      <x:c r="A686" s="17" t="str">
        <x:v>MTS-0685</x:v>
      </x:c>
      <x:c r="B686" s="17" t="str">
        <x:v>Senior Visit Log</x:v>
      </x:c>
      <x:c r="C686" s="17" t="str">
        <x:v>Senior Care Operations</x:v>
      </x:c>
      <x:c r="D686" s="17" t="str">
        <x:v>Mobile + SaaS</x:v>
      </x:c>
      <x:c r="E686" s="17" t="str">
        <x:v>Families and care providers</x:v>
      </x:c>
      <x:c r="F686" s="18" t="str">
        <x:v>Senior Visit Log provides a focused senior care operations workflow for families and care providers.</x:v>
      </x:c>
      <x:c r="G686" s="18" t="str">
        <x:v>Care Logs, Reminders, Handoff, Reports</x:v>
      </x:c>
      <x:c r="H686" s="17" t="str">
        <x:v>Subscription</x:v>
      </x:c>
      <x:c r="I686" s="17" t="str">
        <x:v>Medium</x:v>
      </x:c>
      <x:c r="J686" s="17" t="str">
        <x:v>New candidate</x:v>
      </x:c>
      <x:c r="K686" s="17" t="str">
        <x:v>Unreviewed</x:v>
      </x:c>
      <x:c r="L686" s="17"/>
      <x:c r="M686" s="17"/>
      <x:c r="N686" s="17"/>
      <x:c r="O686" s="17"/>
      <x:c r="P686" s="17"/>
      <x:c r="Q686" s="17" t="str">
        <x:f>IF(COUNT(L686:P686)&lt;5,"",ROUND((L686*25+M686*20+N686*20+O686*20+P686*15)/5,1))</x:f>
      </x:c>
      <x:c r="R686" s="18" t="str"/>
      <x:c r="S686" s="18" t="str"/>
      <x:c r="T686" s="17" t="str"/>
      <x:c r="U686" s="19"/>
    </x:row>
    <x:row r="687">
      <x:c r="A687" s="17" t="str">
        <x:v>MTS-0686</x:v>
      </x:c>
      <x:c r="B687" s="17" t="str">
        <x:v>Medication Handoff Record</x:v>
      </x:c>
      <x:c r="C687" s="17" t="str">
        <x:v>Senior Care Operations</x:v>
      </x:c>
      <x:c r="D687" s="17" t="str">
        <x:v>Mobile + SaaS</x:v>
      </x:c>
      <x:c r="E687" s="17" t="str">
        <x:v>Families and care providers</x:v>
      </x:c>
      <x:c r="F687" s="18" t="str">
        <x:v>Medication Handoff Record provides a focused senior care operations workflow for families and care providers.</x:v>
      </x:c>
      <x:c r="G687" s="18" t="str">
        <x:v>Care Logs, Reminders, Handoff, Reports</x:v>
      </x:c>
      <x:c r="H687" s="17" t="str">
        <x:v>Subscription</x:v>
      </x:c>
      <x:c r="I687" s="17" t="str">
        <x:v>Medium</x:v>
      </x:c>
      <x:c r="J687" s="17" t="str">
        <x:v>New candidate</x:v>
      </x:c>
      <x:c r="K687" s="17" t="str">
        <x:v>Unreviewed</x:v>
      </x:c>
      <x:c r="L687" s="17"/>
      <x:c r="M687" s="17"/>
      <x:c r="N687" s="17"/>
      <x:c r="O687" s="17"/>
      <x:c r="P687" s="17"/>
      <x:c r="Q687" s="17" t="str">
        <x:f>IF(COUNT(L687:P687)&lt;5,"",ROUND((L687*25+M687*20+N687*20+O687*20+P687*15)/5,1))</x:f>
      </x:c>
      <x:c r="R687" s="18" t="str"/>
      <x:c r="S687" s="18" t="str"/>
      <x:c r="T687" s="17" t="str"/>
      <x:c r="U687" s="19"/>
    </x:row>
    <x:row r="688">
      <x:c r="A688" s="17" t="str">
        <x:v>MTS-0687</x:v>
      </x:c>
      <x:c r="B688" s="17" t="str">
        <x:v>Meal and Hydration Log</x:v>
      </x:c>
      <x:c r="C688" s="17" t="str">
        <x:v>Senior Care Operations</x:v>
      </x:c>
      <x:c r="D688" s="17" t="str">
        <x:v>Mobile + SaaS</x:v>
      </x:c>
      <x:c r="E688" s="17" t="str">
        <x:v>Families and care providers</x:v>
      </x:c>
      <x:c r="F688" s="18" t="str">
        <x:v>Meal and Hydration Log provides a focused senior care operations workflow for families and care providers.</x:v>
      </x:c>
      <x:c r="G688" s="18" t="str">
        <x:v>Care Logs, Reminders, Handoff, Reports</x:v>
      </x:c>
      <x:c r="H688" s="17" t="str">
        <x:v>Subscription</x:v>
      </x:c>
      <x:c r="I688" s="17" t="str">
        <x:v>Medium</x:v>
      </x:c>
      <x:c r="J688" s="17" t="str">
        <x:v>New candidate</x:v>
      </x:c>
      <x:c r="K688" s="17" t="str">
        <x:v>Unreviewed</x:v>
      </x:c>
      <x:c r="L688" s="17"/>
      <x:c r="M688" s="17"/>
      <x:c r="N688" s="17"/>
      <x:c r="O688" s="17"/>
      <x:c r="P688" s="17"/>
      <x:c r="Q688" s="17" t="str">
        <x:f>IF(COUNT(L688:P688)&lt;5,"",ROUND((L688*25+M688*20+N688*20+O688*20+P688*15)/5,1))</x:f>
      </x:c>
      <x:c r="R688" s="18" t="str"/>
      <x:c r="S688" s="18" t="str"/>
      <x:c r="T688" s="17" t="str"/>
      <x:c r="U688" s="19"/>
    </x:row>
    <x:row r="689">
      <x:c r="A689" s="17" t="str">
        <x:v>MTS-0688</x:v>
      </x:c>
      <x:c r="B689" s="17" t="str">
        <x:v>Mobility Observation Tracker</x:v>
      </x:c>
      <x:c r="C689" s="17" t="str">
        <x:v>Senior Care Operations</x:v>
      </x:c>
      <x:c r="D689" s="17" t="str">
        <x:v>Mobile + SaaS</x:v>
      </x:c>
      <x:c r="E689" s="17" t="str">
        <x:v>Families and care providers</x:v>
      </x:c>
      <x:c r="F689" s="18" t="str">
        <x:v>Mobility Observation Tracker provides a focused senior care operations workflow for families and care providers.</x:v>
      </x:c>
      <x:c r="G689" s="18" t="str">
        <x:v>Care Logs, Reminders, Handoff, Reports</x:v>
      </x:c>
      <x:c r="H689" s="17" t="str">
        <x:v>Subscription</x:v>
      </x:c>
      <x:c r="I689" s="17" t="str">
        <x:v>Medium</x:v>
      </x:c>
      <x:c r="J689" s="17" t="str">
        <x:v>New candidate</x:v>
      </x:c>
      <x:c r="K689" s="17" t="str">
        <x:v>Unreviewed</x:v>
      </x:c>
      <x:c r="L689" s="17"/>
      <x:c r="M689" s="17"/>
      <x:c r="N689" s="17"/>
      <x:c r="O689" s="17"/>
      <x:c r="P689" s="17"/>
      <x:c r="Q689" s="17" t="str">
        <x:f>IF(COUNT(L689:P689)&lt;5,"",ROUND((L689*25+M689*20+N689*20+O689*20+P689*15)/5,1))</x:f>
      </x:c>
      <x:c r="R689" s="18" t="str"/>
      <x:c r="S689" s="18" t="str"/>
      <x:c r="T689" s="17" t="str"/>
      <x:c r="U689" s="19"/>
    </x:row>
    <x:row r="690">
      <x:c r="A690" s="17" t="str">
        <x:v>MTS-0689</x:v>
      </x:c>
      <x:c r="B690" s="17" t="str">
        <x:v>Home Safety Walkthrough</x:v>
      </x:c>
      <x:c r="C690" s="17" t="str">
        <x:v>Senior Care Operations</x:v>
      </x:c>
      <x:c r="D690" s="17" t="str">
        <x:v>Mobile + SaaS</x:v>
      </x:c>
      <x:c r="E690" s="17" t="str">
        <x:v>Families and care providers</x:v>
      </x:c>
      <x:c r="F690" s="18" t="str">
        <x:v>Home Safety Walkthrough provides a focused senior care operations workflow for families and care providers.</x:v>
      </x:c>
      <x:c r="G690" s="18" t="str">
        <x:v>Care Logs, Reminders, Handoff, Reports</x:v>
      </x:c>
      <x:c r="H690" s="17" t="str">
        <x:v>Subscription</x:v>
      </x:c>
      <x:c r="I690" s="17" t="str">
        <x:v>Medium</x:v>
      </x:c>
      <x:c r="J690" s="17" t="str">
        <x:v>New candidate</x:v>
      </x:c>
      <x:c r="K690" s="17" t="str">
        <x:v>Unreviewed</x:v>
      </x:c>
      <x:c r="L690" s="17"/>
      <x:c r="M690" s="17"/>
      <x:c r="N690" s="17"/>
      <x:c r="O690" s="17"/>
      <x:c r="P690" s="17"/>
      <x:c r="Q690" s="17" t="str">
        <x:f>IF(COUNT(L690:P690)&lt;5,"",ROUND((L690*25+M690*20+N690*20+O690*20+P690*15)/5,1))</x:f>
      </x:c>
      <x:c r="R690" s="18" t="str"/>
      <x:c r="S690" s="18" t="str"/>
      <x:c r="T690" s="17" t="str"/>
      <x:c r="U690" s="19"/>
    </x:row>
    <x:row r="691">
      <x:c r="A691" s="17" t="str">
        <x:v>MTS-0690</x:v>
      </x:c>
      <x:c r="B691" s="17" t="str">
        <x:v>Care Appointment Organizer</x:v>
      </x:c>
      <x:c r="C691" s="17" t="str">
        <x:v>Senior Care Operations</x:v>
      </x:c>
      <x:c r="D691" s="17" t="str">
        <x:v>Mobile + SaaS</x:v>
      </x:c>
      <x:c r="E691" s="17" t="str">
        <x:v>Families and care providers</x:v>
      </x:c>
      <x:c r="F691" s="18" t="str">
        <x:v>Care Appointment Organizer provides a focused senior care operations workflow for families and care providers.</x:v>
      </x:c>
      <x:c r="G691" s="18" t="str">
        <x:v>Care Logs, Reminders, Handoff, Reports</x:v>
      </x:c>
      <x:c r="H691" s="17" t="str">
        <x:v>Subscription</x:v>
      </x:c>
      <x:c r="I691" s="17" t="str">
        <x:v>Medium</x:v>
      </x:c>
      <x:c r="J691" s="17" t="str">
        <x:v>New candidate</x:v>
      </x:c>
      <x:c r="K691" s="17" t="str">
        <x:v>Unreviewed</x:v>
      </x:c>
      <x:c r="L691" s="17"/>
      <x:c r="M691" s="17"/>
      <x:c r="N691" s="17"/>
      <x:c r="O691" s="17"/>
      <x:c r="P691" s="17"/>
      <x:c r="Q691" s="17" t="str">
        <x:f>IF(COUNT(L691:P691)&lt;5,"",ROUND((L691*25+M691*20+N691*20+O691*20+P691*15)/5,1))</x:f>
      </x:c>
      <x:c r="R691" s="18" t="str"/>
      <x:c r="S691" s="18" t="str"/>
      <x:c r="T691" s="17" t="str"/>
      <x:c r="U691" s="19"/>
    </x:row>
    <x:row r="692">
      <x:c r="A692" s="17" t="str">
        <x:v>MTS-0691</x:v>
      </x:c>
      <x:c r="B692" s="17" t="str">
        <x:v>Caregiver Shift Notes</x:v>
      </x:c>
      <x:c r="C692" s="17" t="str">
        <x:v>Senior Care Operations</x:v>
      </x:c>
      <x:c r="D692" s="17" t="str">
        <x:v>Mobile + SaaS</x:v>
      </x:c>
      <x:c r="E692" s="17" t="str">
        <x:v>Families and care providers</x:v>
      </x:c>
      <x:c r="F692" s="18" t="str">
        <x:v>Caregiver Shift Notes provides a focused senior care operations workflow for families and care providers.</x:v>
      </x:c>
      <x:c r="G692" s="18" t="str">
        <x:v>Care Logs, Reminders, Handoff, Reports</x:v>
      </x:c>
      <x:c r="H692" s="17" t="str">
        <x:v>Subscription</x:v>
      </x:c>
      <x:c r="I692" s="17" t="str">
        <x:v>Medium</x:v>
      </x:c>
      <x:c r="J692" s="17" t="str">
        <x:v>New candidate</x:v>
      </x:c>
      <x:c r="K692" s="17" t="str">
        <x:v>Unreviewed</x:v>
      </x:c>
      <x:c r="L692" s="17"/>
      <x:c r="M692" s="17"/>
      <x:c r="N692" s="17"/>
      <x:c r="O692" s="17"/>
      <x:c r="P692" s="17"/>
      <x:c r="Q692" s="17" t="str">
        <x:f>IF(COUNT(L692:P692)&lt;5,"",ROUND((L692*25+M692*20+N692*20+O692*20+P692*15)/5,1))</x:f>
      </x:c>
      <x:c r="R692" s="18" t="str"/>
      <x:c r="S692" s="18" t="str"/>
      <x:c r="T692" s="17" t="str"/>
      <x:c r="U692" s="19"/>
    </x:row>
    <x:row r="693">
      <x:c r="A693" s="17" t="str">
        <x:v>MTS-0692</x:v>
      </x:c>
      <x:c r="B693" s="17" t="str">
        <x:v>Senior Transportation Log</x:v>
      </x:c>
      <x:c r="C693" s="17" t="str">
        <x:v>Senior Care Operations</x:v>
      </x:c>
      <x:c r="D693" s="17" t="str">
        <x:v>Mobile + SaaS</x:v>
      </x:c>
      <x:c r="E693" s="17" t="str">
        <x:v>Families and care providers</x:v>
      </x:c>
      <x:c r="F693" s="18" t="str">
        <x:v>Senior Transportation Log provides a focused senior care operations workflow for families and care providers.</x:v>
      </x:c>
      <x:c r="G693" s="18" t="str">
        <x:v>Care Logs, Reminders, Handoff, Reports</x:v>
      </x:c>
      <x:c r="H693" s="17" t="str">
        <x:v>Subscription</x:v>
      </x:c>
      <x:c r="I693" s="17" t="str">
        <x:v>Medium</x:v>
      </x:c>
      <x:c r="J693" s="17" t="str">
        <x:v>New candidate</x:v>
      </x:c>
      <x:c r="K693" s="17" t="str">
        <x:v>Unreviewed</x:v>
      </x:c>
      <x:c r="L693" s="17"/>
      <x:c r="M693" s="17"/>
      <x:c r="N693" s="17"/>
      <x:c r="O693" s="17"/>
      <x:c r="P693" s="17"/>
      <x:c r="Q693" s="17" t="str">
        <x:f>IF(COUNT(L693:P693)&lt;5,"",ROUND((L693*25+M693*20+N693*20+O693*20+P693*15)/5,1))</x:f>
      </x:c>
      <x:c r="R693" s="18" t="str"/>
      <x:c r="S693" s="18" t="str"/>
      <x:c r="T693" s="17" t="str"/>
      <x:c r="U693" s="19"/>
    </x:row>
    <x:row r="694">
      <x:c r="A694" s="17" t="str">
        <x:v>MTS-0693</x:v>
      </x:c>
      <x:c r="B694" s="17" t="str">
        <x:v>Medical Supply Inventory</x:v>
      </x:c>
      <x:c r="C694" s="17" t="str">
        <x:v>Senior Care Operations</x:v>
      </x:c>
      <x:c r="D694" s="17" t="str">
        <x:v>Mobile + SaaS</x:v>
      </x:c>
      <x:c r="E694" s="17" t="str">
        <x:v>Families and care providers</x:v>
      </x:c>
      <x:c r="F694" s="18" t="str">
        <x:v>Medical Supply Inventory provides a focused senior care operations workflow for families and care providers.</x:v>
      </x:c>
      <x:c r="G694" s="18" t="str">
        <x:v>Care Logs, Reminders, Handoff, Reports</x:v>
      </x:c>
      <x:c r="H694" s="17" t="str">
        <x:v>Subscription</x:v>
      </x:c>
      <x:c r="I694" s="17" t="str">
        <x:v>Medium</x:v>
      </x:c>
      <x:c r="J694" s="17" t="str">
        <x:v>New candidate</x:v>
      </x:c>
      <x:c r="K694" s="17" t="str">
        <x:v>Unreviewed</x:v>
      </x:c>
      <x:c r="L694" s="17"/>
      <x:c r="M694" s="17"/>
      <x:c r="N694" s="17"/>
      <x:c r="O694" s="17"/>
      <x:c r="P694" s="17"/>
      <x:c r="Q694" s="17" t="str">
        <x:f>IF(COUNT(L694:P694)&lt;5,"",ROUND((L694*25+M694*20+N694*20+O694*20+P694*15)/5,1))</x:f>
      </x:c>
      <x:c r="R694" s="18" t="str"/>
      <x:c r="S694" s="18" t="str"/>
      <x:c r="T694" s="17" t="str"/>
      <x:c r="U694" s="19"/>
    </x:row>
    <x:row r="695">
      <x:c r="A695" s="17" t="str">
        <x:v>MTS-0694</x:v>
      </x:c>
      <x:c r="B695" s="17" t="str">
        <x:v>Family Care Update Portal</x:v>
      </x:c>
      <x:c r="C695" s="17" t="str">
        <x:v>Senior Care Operations</x:v>
      </x:c>
      <x:c r="D695" s="17" t="str">
        <x:v>Mobile + SaaS</x:v>
      </x:c>
      <x:c r="E695" s="17" t="str">
        <x:v>Families and care providers</x:v>
      </x:c>
      <x:c r="F695" s="18" t="str">
        <x:v>Family Care Update Portal provides a focused senior care operations workflow for families and care providers.</x:v>
      </x:c>
      <x:c r="G695" s="18" t="str">
        <x:v>Care Logs, Reminders, Handoff, Reports</x:v>
      </x:c>
      <x:c r="H695" s="17" t="str">
        <x:v>Subscription</x:v>
      </x:c>
      <x:c r="I695" s="17" t="str">
        <x:v>Medium</x:v>
      </x:c>
      <x:c r="J695" s="17" t="str">
        <x:v>New candidate</x:v>
      </x:c>
      <x:c r="K695" s="17" t="str">
        <x:v>Unreviewed</x:v>
      </x:c>
      <x:c r="L695" s="17"/>
      <x:c r="M695" s="17"/>
      <x:c r="N695" s="17"/>
      <x:c r="O695" s="17"/>
      <x:c r="P695" s="17"/>
      <x:c r="Q695" s="17" t="str">
        <x:f>IF(COUNT(L695:P695)&lt;5,"",ROUND((L695*25+M695*20+N695*20+O695*20+P695*15)/5,1))</x:f>
      </x:c>
      <x:c r="R695" s="18" t="str"/>
      <x:c r="S695" s="18" t="str"/>
      <x:c r="T695" s="17" t="str"/>
      <x:c r="U695" s="19"/>
    </x:row>
    <x:row r="696">
      <x:c r="A696" s="17" t="str">
        <x:v>MTS-0695</x:v>
      </x:c>
      <x:c r="B696" s="17" t="str">
        <x:v>Daily Wellness Check-In</x:v>
      </x:c>
      <x:c r="C696" s="17" t="str">
        <x:v>Senior Care Operations</x:v>
      </x:c>
      <x:c r="D696" s="17" t="str">
        <x:v>Mobile + SaaS</x:v>
      </x:c>
      <x:c r="E696" s="17" t="str">
        <x:v>Families and care providers</x:v>
      </x:c>
      <x:c r="F696" s="18" t="str">
        <x:v>Daily Wellness Check-In provides a focused senior care operations workflow for families and care providers.</x:v>
      </x:c>
      <x:c r="G696" s="18" t="str">
        <x:v>Care Logs, Reminders, Handoff, Reports</x:v>
      </x:c>
      <x:c r="H696" s="17" t="str">
        <x:v>Subscription</x:v>
      </x:c>
      <x:c r="I696" s="17" t="str">
        <x:v>Medium</x:v>
      </x:c>
      <x:c r="J696" s="17" t="str">
        <x:v>New candidate</x:v>
      </x:c>
      <x:c r="K696" s="17" t="str">
        <x:v>Unreviewed</x:v>
      </x:c>
      <x:c r="L696" s="17"/>
      <x:c r="M696" s="17"/>
      <x:c r="N696" s="17"/>
      <x:c r="O696" s="17"/>
      <x:c r="P696" s="17"/>
      <x:c r="Q696" s="17" t="str">
        <x:f>IF(COUNT(L696:P696)&lt;5,"",ROUND((L696*25+M696*20+N696*20+O696*20+P696*15)/5,1))</x:f>
      </x:c>
      <x:c r="R696" s="18" t="str"/>
      <x:c r="S696" s="18" t="str"/>
      <x:c r="T696" s="17" t="str"/>
      <x:c r="U696" s="19"/>
    </x:row>
    <x:row r="697">
      <x:c r="A697" s="17" t="str">
        <x:v>MTS-0696</x:v>
      </x:c>
      <x:c r="B697" s="17" t="str">
        <x:v>Emergency Information Binder</x:v>
      </x:c>
      <x:c r="C697" s="17" t="str">
        <x:v>Senior Care Operations</x:v>
      </x:c>
      <x:c r="D697" s="17" t="str">
        <x:v>Mobile + SaaS</x:v>
      </x:c>
      <x:c r="E697" s="17" t="str">
        <x:v>Families and care providers</x:v>
      </x:c>
      <x:c r="F697" s="18" t="str">
        <x:v>Emergency Information Binder provides a focused senior care operations workflow for families and care providers.</x:v>
      </x:c>
      <x:c r="G697" s="18" t="str">
        <x:v>Care Logs, Reminders, Handoff, Reports</x:v>
      </x:c>
      <x:c r="H697" s="17" t="str">
        <x:v>Subscription</x:v>
      </x:c>
      <x:c r="I697" s="17" t="str">
        <x:v>Medium</x:v>
      </x:c>
      <x:c r="J697" s="17" t="str">
        <x:v>New candidate</x:v>
      </x:c>
      <x:c r="K697" s="17" t="str">
        <x:v>Unreviewed</x:v>
      </x:c>
      <x:c r="L697" s="17"/>
      <x:c r="M697" s="17"/>
      <x:c r="N697" s="17"/>
      <x:c r="O697" s="17"/>
      <x:c r="P697" s="17"/>
      <x:c r="Q697" s="17" t="str">
        <x:f>IF(COUNT(L697:P697)&lt;5,"",ROUND((L697*25+M697*20+N697*20+O697*20+P697*15)/5,1))</x:f>
      </x:c>
      <x:c r="R697" s="18" t="str"/>
      <x:c r="S697" s="18" t="str"/>
      <x:c r="T697" s="17" t="str"/>
      <x:c r="U697" s="19"/>
    </x:row>
    <x:row r="698">
      <x:c r="A698" s="17" t="str">
        <x:v>MTS-0697</x:v>
      </x:c>
      <x:c r="B698" s="17" t="str">
        <x:v>Childcare Daily Report</x:v>
      </x:c>
      <x:c r="C698" s="17" t="str">
        <x:v>Childcare Operations</x:v>
      </x:c>
      <x:c r="D698" s="17" t="str">
        <x:v>Mobile + SaaS</x:v>
      </x:c>
      <x:c r="E698" s="17" t="str">
        <x:v>Parents and childcare providers</x:v>
      </x:c>
      <x:c r="F698" s="18" t="str">
        <x:v>Childcare Daily Report provides a focused childcare operations workflow for parents and childcare providers.</x:v>
      </x:c>
      <x:c r="G698" s="18" t="str">
        <x:v>Attendance, Care Logs, Checklists, Reports</x:v>
      </x:c>
      <x:c r="H698" s="17" t="str">
        <x:v>Subscription</x:v>
      </x:c>
      <x:c r="I698" s="17" t="str">
        <x:v>Medium</x:v>
      </x:c>
      <x:c r="J698" s="17" t="str">
        <x:v>New candidate</x:v>
      </x:c>
      <x:c r="K698" s="17" t="str">
        <x:v>Unreviewed</x:v>
      </x:c>
      <x:c r="L698" s="17"/>
      <x:c r="M698" s="17"/>
      <x:c r="N698" s="17"/>
      <x:c r="O698" s="17"/>
      <x:c r="P698" s="17"/>
      <x:c r="Q698" s="17" t="str">
        <x:f>IF(COUNT(L698:P698)&lt;5,"",ROUND((L698*25+M698*20+N698*20+O698*20+P698*15)/5,1))</x:f>
      </x:c>
      <x:c r="R698" s="18" t="str"/>
      <x:c r="S698" s="18" t="str"/>
      <x:c r="T698" s="17" t="str"/>
      <x:c r="U698" s="19"/>
    </x:row>
    <x:row r="699">
      <x:c r="A699" s="17" t="str">
        <x:v>MTS-0698</x:v>
      </x:c>
      <x:c r="B699" s="17" t="str">
        <x:v>Child Pickup Authorization</x:v>
      </x:c>
      <x:c r="C699" s="17" t="str">
        <x:v>Childcare Operations</x:v>
      </x:c>
      <x:c r="D699" s="17" t="str">
        <x:v>Mobile + SaaS</x:v>
      </x:c>
      <x:c r="E699" s="17" t="str">
        <x:v>Parents and childcare providers</x:v>
      </x:c>
      <x:c r="F699" s="18" t="str">
        <x:v>Child Pickup Authorization provides a focused childcare operations workflow for parents and childcare providers.</x:v>
      </x:c>
      <x:c r="G699" s="18" t="str">
        <x:v>Attendance, Care Logs, Checklists, Reports</x:v>
      </x:c>
      <x:c r="H699" s="17" t="str">
        <x:v>Subscription</x:v>
      </x:c>
      <x:c r="I699" s="17" t="str">
        <x:v>Medium</x:v>
      </x:c>
      <x:c r="J699" s="17" t="str">
        <x:v>New candidate</x:v>
      </x:c>
      <x:c r="K699" s="17" t="str">
        <x:v>Unreviewed</x:v>
      </x:c>
      <x:c r="L699" s="17"/>
      <x:c r="M699" s="17"/>
      <x:c r="N699" s="17"/>
      <x:c r="O699" s="17"/>
      <x:c r="P699" s="17"/>
      <x:c r="Q699" s="17" t="str">
        <x:f>IF(COUNT(L699:P699)&lt;5,"",ROUND((L699*25+M699*20+N699*20+O699*20+P699*15)/5,1))</x:f>
      </x:c>
      <x:c r="R699" s="18" t="str"/>
      <x:c r="S699" s="18" t="str"/>
      <x:c r="T699" s="17" t="str"/>
      <x:c r="U699" s="19"/>
    </x:row>
    <x:row r="700">
      <x:c r="A700" s="17" t="str">
        <x:v>MTS-0699</x:v>
      </x:c>
      <x:c r="B700" s="17" t="str">
        <x:v>Daycare Supply Inventory</x:v>
      </x:c>
      <x:c r="C700" s="17" t="str">
        <x:v>Childcare Operations</x:v>
      </x:c>
      <x:c r="D700" s="17" t="str">
        <x:v>Mobile + SaaS</x:v>
      </x:c>
      <x:c r="E700" s="17" t="str">
        <x:v>Parents and childcare providers</x:v>
      </x:c>
      <x:c r="F700" s="18" t="str">
        <x:v>Daycare Supply Inventory provides a focused childcare operations workflow for parents and childcare providers.</x:v>
      </x:c>
      <x:c r="G700" s="18" t="str">
        <x:v>Attendance, Care Logs, Checklists, Reports</x:v>
      </x:c>
      <x:c r="H700" s="17" t="str">
        <x:v>Subscription</x:v>
      </x:c>
      <x:c r="I700" s="17" t="str">
        <x:v>Medium</x:v>
      </x:c>
      <x:c r="J700" s="17" t="str">
        <x:v>New candidate</x:v>
      </x:c>
      <x:c r="K700" s="17" t="str">
        <x:v>Unreviewed</x:v>
      </x:c>
      <x:c r="L700" s="17"/>
      <x:c r="M700" s="17"/>
      <x:c r="N700" s="17"/>
      <x:c r="O700" s="17"/>
      <x:c r="P700" s="17"/>
      <x:c r="Q700" s="17" t="str">
        <x:f>IF(COUNT(L700:P700)&lt;5,"",ROUND((L700*25+M700*20+N700*20+O700*20+P700*15)/5,1))</x:f>
      </x:c>
      <x:c r="R700" s="18" t="str"/>
      <x:c r="S700" s="18" t="str"/>
      <x:c r="T700" s="17" t="str"/>
      <x:c r="U700" s="19"/>
    </x:row>
    <x:row r="701">
      <x:c r="A701" s="17" t="str">
        <x:v>MTS-0700</x:v>
      </x:c>
      <x:c r="B701" s="17" t="str">
        <x:v>Nap and Meal Log</x:v>
      </x:c>
      <x:c r="C701" s="17" t="str">
        <x:v>Childcare Operations</x:v>
      </x:c>
      <x:c r="D701" s="17" t="str">
        <x:v>Mobile + SaaS</x:v>
      </x:c>
      <x:c r="E701" s="17" t="str">
        <x:v>Parents and childcare providers</x:v>
      </x:c>
      <x:c r="F701" s="18" t="str">
        <x:v>Nap and Meal Log provides a focused childcare operations workflow for parents and childcare providers.</x:v>
      </x:c>
      <x:c r="G701" s="18" t="str">
        <x:v>Attendance, Care Logs, Checklists, Reports</x:v>
      </x:c>
      <x:c r="H701" s="17" t="str">
        <x:v>Subscription</x:v>
      </x:c>
      <x:c r="I701" s="17" t="str">
        <x:v>Medium</x:v>
      </x:c>
      <x:c r="J701" s="17" t="str">
        <x:v>New candidate</x:v>
      </x:c>
      <x:c r="K701" s="17" t="str">
        <x:v>Unreviewed</x:v>
      </x:c>
      <x:c r="L701" s="17"/>
      <x:c r="M701" s="17"/>
      <x:c r="N701" s="17"/>
      <x:c r="O701" s="17"/>
      <x:c r="P701" s="17"/>
      <x:c r="Q701" s="17" t="str">
        <x:f>IF(COUNT(L701:P701)&lt;5,"",ROUND((L701*25+M701*20+N701*20+O701*20+P701*15)/5,1))</x:f>
      </x:c>
      <x:c r="R701" s="18" t="str"/>
      <x:c r="S701" s="18" t="str"/>
      <x:c r="T701" s="17" t="str"/>
      <x:c r="U701" s="19"/>
    </x:row>
    <x:row r="702">
      <x:c r="A702" s="17" t="str">
        <x:v>MTS-0701</x:v>
      </x:c>
      <x:c r="B702" s="17" t="str">
        <x:v>Childcare Incident Report</x:v>
      </x:c>
      <x:c r="C702" s="17" t="str">
        <x:v>Childcare Operations</x:v>
      </x:c>
      <x:c r="D702" s="17" t="str">
        <x:v>Mobile + SaaS</x:v>
      </x:c>
      <x:c r="E702" s="17" t="str">
        <x:v>Parents and childcare providers</x:v>
      </x:c>
      <x:c r="F702" s="18" t="str">
        <x:v>Childcare Incident Report provides a focused childcare operations workflow for parents and childcare providers.</x:v>
      </x:c>
      <x:c r="G702" s="18" t="str">
        <x:v>Attendance, Care Logs, Checklists, Reports</x:v>
      </x:c>
      <x:c r="H702" s="17" t="str">
        <x:v>Subscription</x:v>
      </x:c>
      <x:c r="I702" s="17" t="str">
        <x:v>Medium</x:v>
      </x:c>
      <x:c r="J702" s="17" t="str">
        <x:v>New candidate</x:v>
      </x:c>
      <x:c r="K702" s="17" t="str">
        <x:v>Unreviewed</x:v>
      </x:c>
      <x:c r="L702" s="17"/>
      <x:c r="M702" s="17"/>
      <x:c r="N702" s="17"/>
      <x:c r="O702" s="17"/>
      <x:c r="P702" s="17"/>
      <x:c r="Q702" s="17" t="str">
        <x:f>IF(COUNT(L702:P702)&lt;5,"",ROUND((L702*25+M702*20+N702*20+O702*20+P702*15)/5,1))</x:f>
      </x:c>
      <x:c r="R702" s="18" t="str"/>
      <x:c r="S702" s="18" t="str"/>
      <x:c r="T702" s="17" t="str"/>
      <x:c r="U702" s="19"/>
    </x:row>
    <x:row r="703">
      <x:c r="A703" s="17" t="str">
        <x:v>MTS-0702</x:v>
      </x:c>
      <x:c r="B703" s="17" t="str">
        <x:v>Play Area Safety Check</x:v>
      </x:c>
      <x:c r="C703" s="17" t="str">
        <x:v>Childcare Operations</x:v>
      </x:c>
      <x:c r="D703" s="17" t="str">
        <x:v>Mobile + SaaS</x:v>
      </x:c>
      <x:c r="E703" s="17" t="str">
        <x:v>Parents and childcare providers</x:v>
      </x:c>
      <x:c r="F703" s="18" t="str">
        <x:v>Play Area Safety Check provides a focused childcare operations workflow for parents and childcare providers.</x:v>
      </x:c>
      <x:c r="G703" s="18" t="str">
        <x:v>Attendance, Care Logs, Checklists, Reports</x:v>
      </x:c>
      <x:c r="H703" s="17" t="str">
        <x:v>Subscription</x:v>
      </x:c>
      <x:c r="I703" s="17" t="str">
        <x:v>Medium</x:v>
      </x:c>
      <x:c r="J703" s="17" t="str">
        <x:v>New candidate</x:v>
      </x:c>
      <x:c r="K703" s="17" t="str">
        <x:v>Unreviewed</x:v>
      </x:c>
      <x:c r="L703" s="17"/>
      <x:c r="M703" s="17"/>
      <x:c r="N703" s="17"/>
      <x:c r="O703" s="17"/>
      <x:c r="P703" s="17"/>
      <x:c r="Q703" s="17" t="str">
        <x:f>IF(COUNT(L703:P703)&lt;5,"",ROUND((L703*25+M703*20+N703*20+O703*20+P703*15)/5,1))</x:f>
      </x:c>
      <x:c r="R703" s="18" t="str"/>
      <x:c r="S703" s="18" t="str"/>
      <x:c r="T703" s="17" t="str"/>
      <x:c r="U703" s="19"/>
    </x:row>
    <x:row r="704">
      <x:c r="A704" s="17" t="str">
        <x:v>MTS-0703</x:v>
      </x:c>
      <x:c r="B704" s="17" t="str">
        <x:v>Field Trip Headcount</x:v>
      </x:c>
      <x:c r="C704" s="17" t="str">
        <x:v>Childcare Operations</x:v>
      </x:c>
      <x:c r="D704" s="17" t="str">
        <x:v>Mobile + SaaS</x:v>
      </x:c>
      <x:c r="E704" s="17" t="str">
        <x:v>Parents and childcare providers</x:v>
      </x:c>
      <x:c r="F704" s="18" t="str">
        <x:v>Field Trip Headcount provides a focused childcare operations workflow for parents and childcare providers.</x:v>
      </x:c>
      <x:c r="G704" s="18" t="str">
        <x:v>Attendance, Care Logs, Checklists, Reports</x:v>
      </x:c>
      <x:c r="H704" s="17" t="str">
        <x:v>Subscription</x:v>
      </x:c>
      <x:c r="I704" s="17" t="str">
        <x:v>Medium</x:v>
      </x:c>
      <x:c r="J704" s="17" t="str">
        <x:v>New candidate</x:v>
      </x:c>
      <x:c r="K704" s="17" t="str">
        <x:v>Unreviewed</x:v>
      </x:c>
      <x:c r="L704" s="17"/>
      <x:c r="M704" s="17"/>
      <x:c r="N704" s="17"/>
      <x:c r="O704" s="17"/>
      <x:c r="P704" s="17"/>
      <x:c r="Q704" s="17" t="str">
        <x:f>IF(COUNT(L704:P704)&lt;5,"",ROUND((L704*25+M704*20+N704*20+O704*20+P704*15)/5,1))</x:f>
      </x:c>
      <x:c r="R704" s="18" t="str"/>
      <x:c r="S704" s="18" t="str"/>
      <x:c r="T704" s="17" t="str"/>
      <x:c r="U704" s="19"/>
    </x:row>
    <x:row r="705">
      <x:c r="A705" s="17" t="str">
        <x:v>MTS-0704</x:v>
      </x:c>
      <x:c r="B705" s="17" t="str">
        <x:v>Parent Update Portal</x:v>
      </x:c>
      <x:c r="C705" s="17" t="str">
        <x:v>Childcare Operations</x:v>
      </x:c>
      <x:c r="D705" s="17" t="str">
        <x:v>Mobile + SaaS</x:v>
      </x:c>
      <x:c r="E705" s="17" t="str">
        <x:v>Parents and childcare providers</x:v>
      </x:c>
      <x:c r="F705" s="18" t="str">
        <x:v>Parent Update Portal provides a focused childcare operations workflow for parents and childcare providers.</x:v>
      </x:c>
      <x:c r="G705" s="18" t="str">
        <x:v>Attendance, Care Logs, Checklists, Reports</x:v>
      </x:c>
      <x:c r="H705" s="17" t="str">
        <x:v>Subscription</x:v>
      </x:c>
      <x:c r="I705" s="17" t="str">
        <x:v>Medium</x:v>
      </x:c>
      <x:c r="J705" s="17" t="str">
        <x:v>New candidate</x:v>
      </x:c>
      <x:c r="K705" s="17" t="str">
        <x:v>Unreviewed</x:v>
      </x:c>
      <x:c r="L705" s="17"/>
      <x:c r="M705" s="17"/>
      <x:c r="N705" s="17"/>
      <x:c r="O705" s="17"/>
      <x:c r="P705" s="17"/>
      <x:c r="Q705" s="17" t="str">
        <x:f>IF(COUNT(L705:P705)&lt;5,"",ROUND((L705*25+M705*20+N705*20+O705*20+P705*15)/5,1))</x:f>
      </x:c>
      <x:c r="R705" s="18" t="str"/>
      <x:c r="S705" s="18" t="str"/>
      <x:c r="T705" s="17" t="str"/>
      <x:c r="U705" s="19"/>
    </x:row>
    <x:row r="706">
      <x:c r="A706" s="17" t="str">
        <x:v>MTS-0705</x:v>
      </x:c>
      <x:c r="B706" s="17" t="str">
        <x:v>Classroom Cleaning Checklist</x:v>
      </x:c>
      <x:c r="C706" s="17" t="str">
        <x:v>Childcare Operations</x:v>
      </x:c>
      <x:c r="D706" s="17" t="str">
        <x:v>Mobile + SaaS</x:v>
      </x:c>
      <x:c r="E706" s="17" t="str">
        <x:v>Parents and childcare providers</x:v>
      </x:c>
      <x:c r="F706" s="18" t="str">
        <x:v>Classroom Cleaning Checklist provides a focused childcare operations workflow for parents and childcare providers.</x:v>
      </x:c>
      <x:c r="G706" s="18" t="str">
        <x:v>Attendance, Care Logs, Checklists, Reports</x:v>
      </x:c>
      <x:c r="H706" s="17" t="str">
        <x:v>Subscription</x:v>
      </x:c>
      <x:c r="I706" s="17" t="str">
        <x:v>Medium</x:v>
      </x:c>
      <x:c r="J706" s="17" t="str">
        <x:v>New candidate</x:v>
      </x:c>
      <x:c r="K706" s="17" t="str">
        <x:v>Unreviewed</x:v>
      </x:c>
      <x:c r="L706" s="17"/>
      <x:c r="M706" s="17"/>
      <x:c r="N706" s="17"/>
      <x:c r="O706" s="17"/>
      <x:c r="P706" s="17"/>
      <x:c r="Q706" s="17" t="str">
        <x:f>IF(COUNT(L706:P706)&lt;5,"",ROUND((L706*25+M706*20+N706*20+O706*20+P706*15)/5,1))</x:f>
      </x:c>
      <x:c r="R706" s="18" t="str"/>
      <x:c r="S706" s="18" t="str"/>
      <x:c r="T706" s="17" t="str"/>
      <x:c r="U706" s="19"/>
    </x:row>
    <x:row r="707">
      <x:c r="A707" s="17" t="str">
        <x:v>MTS-0706</x:v>
      </x:c>
      <x:c r="B707" s="17" t="str">
        <x:v>Childcare Staff Training</x:v>
      </x:c>
      <x:c r="C707" s="17" t="str">
        <x:v>Childcare Operations</x:v>
      </x:c>
      <x:c r="D707" s="17" t="str">
        <x:v>Mobile + SaaS</x:v>
      </x:c>
      <x:c r="E707" s="17" t="str">
        <x:v>Parents and childcare providers</x:v>
      </x:c>
      <x:c r="F707" s="18" t="str">
        <x:v>Childcare Staff Training provides a focused childcare operations workflow for parents and childcare providers.</x:v>
      </x:c>
      <x:c r="G707" s="18" t="str">
        <x:v>Attendance, Care Logs, Checklists, Reports</x:v>
      </x:c>
      <x:c r="H707" s="17" t="str">
        <x:v>Subscription</x:v>
      </x:c>
      <x:c r="I707" s="17" t="str">
        <x:v>Medium</x:v>
      </x:c>
      <x:c r="J707" s="17" t="str">
        <x:v>New candidate</x:v>
      </x:c>
      <x:c r="K707" s="17" t="str">
        <x:v>Unreviewed</x:v>
      </x:c>
      <x:c r="L707" s="17"/>
      <x:c r="M707" s="17"/>
      <x:c r="N707" s="17"/>
      <x:c r="O707" s="17"/>
      <x:c r="P707" s="17"/>
      <x:c r="Q707" s="17" t="str">
        <x:f>IF(COUNT(L707:P707)&lt;5,"",ROUND((L707*25+M707*20+N707*20+O707*20+P707*15)/5,1))</x:f>
      </x:c>
      <x:c r="R707" s="18" t="str"/>
      <x:c r="S707" s="18" t="str"/>
      <x:c r="T707" s="17" t="str"/>
      <x:c r="U707" s="19"/>
    </x:row>
    <x:row r="708">
      <x:c r="A708" s="17" t="str">
        <x:v>MTS-0707</x:v>
      </x:c>
      <x:c r="B708" s="17" t="str">
        <x:v>Emergency Drill Tracker</x:v>
      </x:c>
      <x:c r="C708" s="17" t="str">
        <x:v>Childcare Operations</x:v>
      </x:c>
      <x:c r="D708" s="17" t="str">
        <x:v>Mobile + SaaS</x:v>
      </x:c>
      <x:c r="E708" s="17" t="str">
        <x:v>Parents and childcare providers</x:v>
      </x:c>
      <x:c r="F708" s="18" t="str">
        <x:v>Emergency Drill Tracker provides a focused childcare operations workflow for parents and childcare providers.</x:v>
      </x:c>
      <x:c r="G708" s="18" t="str">
        <x:v>Attendance, Care Logs, Checklists, Reports</x:v>
      </x:c>
      <x:c r="H708" s="17" t="str">
        <x:v>Subscription</x:v>
      </x:c>
      <x:c r="I708" s="17" t="str">
        <x:v>Medium</x:v>
      </x:c>
      <x:c r="J708" s="17" t="str">
        <x:v>New candidate</x:v>
      </x:c>
      <x:c r="K708" s="17" t="str">
        <x:v>Unreviewed</x:v>
      </x:c>
      <x:c r="L708" s="17"/>
      <x:c r="M708" s="17"/>
      <x:c r="N708" s="17"/>
      <x:c r="O708" s="17"/>
      <x:c r="P708" s="17"/>
      <x:c r="Q708" s="17" t="str">
        <x:f>IF(COUNT(L708:P708)&lt;5,"",ROUND((L708*25+M708*20+N708*20+O708*20+P708*15)/5,1))</x:f>
      </x:c>
      <x:c r="R708" s="18" t="str"/>
      <x:c r="S708" s="18" t="str"/>
      <x:c r="T708" s="17" t="str"/>
      <x:c r="U708" s="19"/>
    </x:row>
    <x:row r="709">
      <x:c r="A709" s="17" t="str">
        <x:v>MTS-0708</x:v>
      </x:c>
      <x:c r="B709" s="17" t="str">
        <x:v>Daycare Maintenance Log</x:v>
      </x:c>
      <x:c r="C709" s="17" t="str">
        <x:v>Childcare Operations</x:v>
      </x:c>
      <x:c r="D709" s="17" t="str">
        <x:v>Mobile + SaaS</x:v>
      </x:c>
      <x:c r="E709" s="17" t="str">
        <x:v>Parents and childcare providers</x:v>
      </x:c>
      <x:c r="F709" s="18" t="str">
        <x:v>Daycare Maintenance Log provides a focused childcare operations workflow for parents and childcare providers.</x:v>
      </x:c>
      <x:c r="G709" s="18" t="str">
        <x:v>Attendance, Care Logs, Checklists, Reports</x:v>
      </x:c>
      <x:c r="H709" s="17" t="str">
        <x:v>Subscription</x:v>
      </x:c>
      <x:c r="I709" s="17" t="str">
        <x:v>Medium</x:v>
      </x:c>
      <x:c r="J709" s="17" t="str">
        <x:v>New candidate</x:v>
      </x:c>
      <x:c r="K709" s="17" t="str">
        <x:v>Unreviewed</x:v>
      </x:c>
      <x:c r="L709" s="17"/>
      <x:c r="M709" s="17"/>
      <x:c r="N709" s="17"/>
      <x:c r="O709" s="17"/>
      <x:c r="P709" s="17"/>
      <x:c r="Q709" s="17" t="str">
        <x:f>IF(COUNT(L709:P709)&lt;5,"",ROUND((L709*25+M709*20+N709*20+O709*20+P709*15)/5,1))</x:f>
      </x:c>
      <x:c r="R709" s="18" t="str"/>
      <x:c r="S709" s="18" t="str"/>
      <x:c r="T709" s="17" t="str"/>
      <x:c r="U709" s="19"/>
    </x:row>
    <x:row r="710">
      <x:c r="A710" s="17" t="str">
        <x:v>MTS-0709</x:v>
      </x:c>
      <x:c r="B710" s="17" t="str">
        <x:v>Offline Trip Binder</x:v>
      </x:c>
      <x:c r="C710" s="17" t="str">
        <x:v>Travel and Camping</x:v>
      </x:c>
      <x:c r="D710" s="17" t="str">
        <x:v>Mobile App</x:v>
      </x:c>
      <x:c r="E710" s="17" t="str">
        <x:v>Travelers and campers</x:v>
      </x:c>
      <x:c r="F710" s="18" t="str">
        <x:v>Offline Trip Binder provides a focused travel and camping workflow for travelers and campers.</x:v>
      </x:c>
      <x:c r="G710" s="18" t="str">
        <x:v>Offline Plans, Checklists, Budget, Maps</x:v>
      </x:c>
      <x:c r="H710" s="17" t="str">
        <x:v>Ads + Pro</x:v>
      </x:c>
      <x:c r="I710" s="17" t="str">
        <x:v>Small</x:v>
      </x:c>
      <x:c r="J710" s="17" t="str">
        <x:v>New candidate</x:v>
      </x:c>
      <x:c r="K710" s="17" t="str">
        <x:v>Unreviewed</x:v>
      </x:c>
      <x:c r="L710" s="17"/>
      <x:c r="M710" s="17"/>
      <x:c r="N710" s="17"/>
      <x:c r="O710" s="17"/>
      <x:c r="P710" s="17"/>
      <x:c r="Q710" s="17" t="str">
        <x:f>IF(COUNT(L710:P710)&lt;5,"",ROUND((L710*25+M710*20+N710*20+O710*20+P710*15)/5,1))</x:f>
      </x:c>
      <x:c r="R710" s="18" t="str"/>
      <x:c r="S710" s="18" t="str"/>
      <x:c r="T710" s="17" t="str"/>
      <x:c r="U710" s="19"/>
    </x:row>
    <x:row r="711">
      <x:c r="A711" s="17" t="str">
        <x:v>MTS-0710</x:v>
      </x:c>
      <x:c r="B711" s="17" t="str">
        <x:v>Campground Site Notes</x:v>
      </x:c>
      <x:c r="C711" s="17" t="str">
        <x:v>Travel and Camping</x:v>
      </x:c>
      <x:c r="D711" s="17" t="str">
        <x:v>Mobile App</x:v>
      </x:c>
      <x:c r="E711" s="17" t="str">
        <x:v>Travelers and campers</x:v>
      </x:c>
      <x:c r="F711" s="18" t="str">
        <x:v>Campground Site Notes provides a focused travel and camping workflow for travelers and campers.</x:v>
      </x:c>
      <x:c r="G711" s="18" t="str">
        <x:v>Offline Plans, Checklists, Budget, Maps</x:v>
      </x:c>
      <x:c r="H711" s="17" t="str">
        <x:v>Ads + Pro</x:v>
      </x:c>
      <x:c r="I711" s="17" t="str">
        <x:v>Small</x:v>
      </x:c>
      <x:c r="J711" s="17" t="str">
        <x:v>New candidate</x:v>
      </x:c>
      <x:c r="K711" s="17" t="str">
        <x:v>Unreviewed</x:v>
      </x:c>
      <x:c r="L711" s="17"/>
      <x:c r="M711" s="17"/>
      <x:c r="N711" s="17"/>
      <x:c r="O711" s="17"/>
      <x:c r="P711" s="17"/>
      <x:c r="Q711" s="17" t="str">
        <x:f>IF(COUNT(L711:P711)&lt;5,"",ROUND((L711*25+M711*20+N711*20+O711*20+P711*15)/5,1))</x:f>
      </x:c>
      <x:c r="R711" s="18" t="str"/>
      <x:c r="S711" s="18" t="str"/>
      <x:c r="T711" s="17" t="str"/>
      <x:c r="U711" s="19"/>
    </x:row>
    <x:row r="712">
      <x:c r="A712" s="17" t="str">
        <x:v>MTS-0711</x:v>
      </x:c>
      <x:c r="B712" s="17" t="str">
        <x:v>Travel Packing Planner</x:v>
      </x:c>
      <x:c r="C712" s="17" t="str">
        <x:v>Travel and Camping</x:v>
      </x:c>
      <x:c r="D712" s="17" t="str">
        <x:v>Mobile App</x:v>
      </x:c>
      <x:c r="E712" s="17" t="str">
        <x:v>Travelers and campers</x:v>
      </x:c>
      <x:c r="F712" s="18" t="str">
        <x:v>Travel Packing Planner provides a focused travel and camping workflow for travelers and campers.</x:v>
      </x:c>
      <x:c r="G712" s="18" t="str">
        <x:v>Offline Plans, Checklists, Budget, Maps</x:v>
      </x:c>
      <x:c r="H712" s="17" t="str">
        <x:v>Ads + Pro</x:v>
      </x:c>
      <x:c r="I712" s="17" t="str">
        <x:v>Small</x:v>
      </x:c>
      <x:c r="J712" s="17" t="str">
        <x:v>New candidate</x:v>
      </x:c>
      <x:c r="K712" s="17" t="str">
        <x:v>Unreviewed</x:v>
      </x:c>
      <x:c r="L712" s="17"/>
      <x:c r="M712" s="17"/>
      <x:c r="N712" s="17"/>
      <x:c r="O712" s="17"/>
      <x:c r="P712" s="17"/>
      <x:c r="Q712" s="17" t="str">
        <x:f>IF(COUNT(L712:P712)&lt;5,"",ROUND((L712*25+M712*20+N712*20+O712*20+P712*15)/5,1))</x:f>
      </x:c>
      <x:c r="R712" s="18" t="str"/>
      <x:c r="S712" s="18" t="str"/>
      <x:c r="T712" s="17" t="str"/>
      <x:c r="U712" s="19"/>
    </x:row>
    <x:row r="713">
      <x:c r="A713" s="17" t="str">
        <x:v>MTS-0712</x:v>
      </x:c>
      <x:c r="B713" s="17" t="str">
        <x:v>Roadside Stop Notebook</x:v>
      </x:c>
      <x:c r="C713" s="17" t="str">
        <x:v>Travel and Camping</x:v>
      </x:c>
      <x:c r="D713" s="17" t="str">
        <x:v>Mobile App</x:v>
      </x:c>
      <x:c r="E713" s="17" t="str">
        <x:v>Travelers and campers</x:v>
      </x:c>
      <x:c r="F713" s="18" t="str">
        <x:v>Roadside Stop Notebook provides a focused travel and camping workflow for travelers and campers.</x:v>
      </x:c>
      <x:c r="G713" s="18" t="str">
        <x:v>Offline Plans, Checklists, Budget, Maps</x:v>
      </x:c>
      <x:c r="H713" s="17" t="str">
        <x:v>Ads + Pro</x:v>
      </x:c>
      <x:c r="I713" s="17" t="str">
        <x:v>Small</x:v>
      </x:c>
      <x:c r="J713" s="17" t="str">
        <x:v>New candidate</x:v>
      </x:c>
      <x:c r="K713" s="17" t="str">
        <x:v>Unreviewed</x:v>
      </x:c>
      <x:c r="L713" s="17"/>
      <x:c r="M713" s="17"/>
      <x:c r="N713" s="17"/>
      <x:c r="O713" s="17"/>
      <x:c r="P713" s="17"/>
      <x:c r="Q713" s="17" t="str">
        <x:f>IF(COUNT(L713:P713)&lt;5,"",ROUND((L713*25+M713*20+N713*20+O713*20+P713*15)/5,1))</x:f>
      </x:c>
      <x:c r="R713" s="18" t="str"/>
      <x:c r="S713" s="18" t="str"/>
      <x:c r="T713" s="17" t="str"/>
      <x:c r="U713" s="19"/>
    </x:row>
    <x:row r="714">
      <x:c r="A714" s="17" t="str">
        <x:v>MTS-0713</x:v>
      </x:c>
      <x:c r="B714" s="17" t="str">
        <x:v>Trip Expense Splitter</x:v>
      </x:c>
      <x:c r="C714" s="17" t="str">
        <x:v>Travel and Camping</x:v>
      </x:c>
      <x:c r="D714" s="17" t="str">
        <x:v>Mobile App</x:v>
      </x:c>
      <x:c r="E714" s="17" t="str">
        <x:v>Travelers and campers</x:v>
      </x:c>
      <x:c r="F714" s="18" t="str">
        <x:v>Trip Expense Splitter provides a focused travel and camping workflow for travelers and campers.</x:v>
      </x:c>
      <x:c r="G714" s="18" t="str">
        <x:v>Offline Plans, Checklists, Budget, Maps</x:v>
      </x:c>
      <x:c r="H714" s="17" t="str">
        <x:v>Ads + Pro</x:v>
      </x:c>
      <x:c r="I714" s="17" t="str">
        <x:v>Small</x:v>
      </x:c>
      <x:c r="J714" s="17" t="str">
        <x:v>New candidate</x:v>
      </x:c>
      <x:c r="K714" s="17" t="str">
        <x:v>Unreviewed</x:v>
      </x:c>
      <x:c r="L714" s="17"/>
      <x:c r="M714" s="17"/>
      <x:c r="N714" s="17"/>
      <x:c r="O714" s="17"/>
      <x:c r="P714" s="17"/>
      <x:c r="Q714" s="17" t="str">
        <x:f>IF(COUNT(L714:P714)&lt;5,"",ROUND((L714*25+M714*20+N714*20+O714*20+P714*15)/5,1))</x:f>
      </x:c>
      <x:c r="R714" s="18" t="str"/>
      <x:c r="S714" s="18" t="str"/>
      <x:c r="T714" s="17" t="str"/>
      <x:c r="U714" s="19"/>
    </x:row>
    <x:row r="715">
      <x:c r="A715" s="17" t="str">
        <x:v>MTS-0714</x:v>
      </x:c>
      <x:c r="B715" s="17" t="str">
        <x:v>Hotel Room Inspection</x:v>
      </x:c>
      <x:c r="C715" s="17" t="str">
        <x:v>Travel and Camping</x:v>
      </x:c>
      <x:c r="D715" s="17" t="str">
        <x:v>Mobile App</x:v>
      </x:c>
      <x:c r="E715" s="17" t="str">
        <x:v>Travelers and campers</x:v>
      </x:c>
      <x:c r="F715" s="18" t="str">
        <x:v>Hotel Room Inspection provides a focused travel and camping workflow for travelers and campers.</x:v>
      </x:c>
      <x:c r="G715" s="18" t="str">
        <x:v>Offline Plans, Checklists, Budget, Maps</x:v>
      </x:c>
      <x:c r="H715" s="17" t="str">
        <x:v>Ads + Pro</x:v>
      </x:c>
      <x:c r="I715" s="17" t="str">
        <x:v>Small</x:v>
      </x:c>
      <x:c r="J715" s="17" t="str">
        <x:v>New candidate</x:v>
      </x:c>
      <x:c r="K715" s="17" t="str">
        <x:v>Unreviewed</x:v>
      </x:c>
      <x:c r="L715" s="17"/>
      <x:c r="M715" s="17"/>
      <x:c r="N715" s="17"/>
      <x:c r="O715" s="17"/>
      <x:c r="P715" s="17"/>
      <x:c r="Q715" s="17" t="str">
        <x:f>IF(COUNT(L715:P715)&lt;5,"",ROUND((L715*25+M715*20+N715*20+O715*20+P715*15)/5,1))</x:f>
      </x:c>
      <x:c r="R715" s="18" t="str"/>
      <x:c r="S715" s="18" t="str"/>
      <x:c r="T715" s="17" t="str"/>
      <x:c r="U715" s="19"/>
    </x:row>
    <x:row r="716">
      <x:c r="A716" s="17" t="str">
        <x:v>MTS-0715</x:v>
      </x:c>
      <x:c r="B716" s="17" t="str">
        <x:v>Vacation Rental Arrival Check</x:v>
      </x:c>
      <x:c r="C716" s="17" t="str">
        <x:v>Travel and Camping</x:v>
      </x:c>
      <x:c r="D716" s="17" t="str">
        <x:v>Mobile App</x:v>
      </x:c>
      <x:c r="E716" s="17" t="str">
        <x:v>Travelers and campers</x:v>
      </x:c>
      <x:c r="F716" s="18" t="str">
        <x:v>Vacation Rental Arrival Check provides a focused travel and camping workflow for travelers and campers.</x:v>
      </x:c>
      <x:c r="G716" s="18" t="str">
        <x:v>Offline Plans, Checklists, Budget, Maps</x:v>
      </x:c>
      <x:c r="H716" s="17" t="str">
        <x:v>Ads + Pro</x:v>
      </x:c>
      <x:c r="I716" s="17" t="str">
        <x:v>Small</x:v>
      </x:c>
      <x:c r="J716" s="17" t="str">
        <x:v>New candidate</x:v>
      </x:c>
      <x:c r="K716" s="17" t="str">
        <x:v>Unreviewed</x:v>
      </x:c>
      <x:c r="L716" s="17"/>
      <x:c r="M716" s="17"/>
      <x:c r="N716" s="17"/>
      <x:c r="O716" s="17"/>
      <x:c r="P716" s="17"/>
      <x:c r="Q716" s="17" t="str">
        <x:f>IF(COUNT(L716:P716)&lt;5,"",ROUND((L716*25+M716*20+N716*20+O716*20+P716*15)/5,1))</x:f>
      </x:c>
      <x:c r="R716" s="18" t="str"/>
      <x:c r="S716" s="18" t="str"/>
      <x:c r="T716" s="17" t="str"/>
      <x:c r="U716" s="19"/>
    </x:row>
    <x:row r="717">
      <x:c r="A717" s="17" t="str">
        <x:v>MTS-0716</x:v>
      </x:c>
      <x:c r="B717" s="17" t="str">
        <x:v>Travel Document Reminder</x:v>
      </x:c>
      <x:c r="C717" s="17" t="str">
        <x:v>Travel and Camping</x:v>
      </x:c>
      <x:c r="D717" s="17" t="str">
        <x:v>Mobile App</x:v>
      </x:c>
      <x:c r="E717" s="17" t="str">
        <x:v>Travelers and campers</x:v>
      </x:c>
      <x:c r="F717" s="18" t="str">
        <x:v>Travel Document Reminder provides a focused travel and camping workflow for travelers and campers.</x:v>
      </x:c>
      <x:c r="G717" s="18" t="str">
        <x:v>Offline Plans, Checklists, Budget, Maps</x:v>
      </x:c>
      <x:c r="H717" s="17" t="str">
        <x:v>Ads + Pro</x:v>
      </x:c>
      <x:c r="I717" s="17" t="str">
        <x:v>Small</x:v>
      </x:c>
      <x:c r="J717" s="17" t="str">
        <x:v>New candidate</x:v>
      </x:c>
      <x:c r="K717" s="17" t="str">
        <x:v>Unreviewed</x:v>
      </x:c>
      <x:c r="L717" s="17"/>
      <x:c r="M717" s="17"/>
      <x:c r="N717" s="17"/>
      <x:c r="O717" s="17"/>
      <x:c r="P717" s="17"/>
      <x:c r="Q717" s="17" t="str">
        <x:f>IF(COUNT(L717:P717)&lt;5,"",ROUND((L717*25+M717*20+N717*20+O717*20+P717*15)/5,1))</x:f>
      </x:c>
      <x:c r="R717" s="18" t="str"/>
      <x:c r="S717" s="18" t="str"/>
      <x:c r="T717" s="17" t="str"/>
      <x:c r="U717" s="19"/>
    </x:row>
    <x:row r="718">
      <x:c r="A718" s="17" t="str">
        <x:v>MTS-0717</x:v>
      </x:c>
      <x:c r="B718" s="17" t="str">
        <x:v>Camping Gear Inventory</x:v>
      </x:c>
      <x:c r="C718" s="17" t="str">
        <x:v>Travel and Camping</x:v>
      </x:c>
      <x:c r="D718" s="17" t="str">
        <x:v>Mobile App</x:v>
      </x:c>
      <x:c r="E718" s="17" t="str">
        <x:v>Travelers and campers</x:v>
      </x:c>
      <x:c r="F718" s="18" t="str">
        <x:v>Camping Gear Inventory provides a focused travel and camping workflow for travelers and campers.</x:v>
      </x:c>
      <x:c r="G718" s="18" t="str">
        <x:v>Offline Plans, Checklists, Budget, Maps</x:v>
      </x:c>
      <x:c r="H718" s="17" t="str">
        <x:v>Ads + Pro</x:v>
      </x:c>
      <x:c r="I718" s="17" t="str">
        <x:v>Small</x:v>
      </x:c>
      <x:c r="J718" s="17" t="str">
        <x:v>New candidate</x:v>
      </x:c>
      <x:c r="K718" s="17" t="str">
        <x:v>Unreviewed</x:v>
      </x:c>
      <x:c r="L718" s="17"/>
      <x:c r="M718" s="17"/>
      <x:c r="N718" s="17"/>
      <x:c r="O718" s="17"/>
      <x:c r="P718" s="17"/>
      <x:c r="Q718" s="17" t="str">
        <x:f>IF(COUNT(L718:P718)&lt;5,"",ROUND((L718*25+M718*20+N718*20+O718*20+P718*15)/5,1))</x:f>
      </x:c>
      <x:c r="R718" s="18" t="str"/>
      <x:c r="S718" s="18" t="str"/>
      <x:c r="T718" s="17" t="str"/>
      <x:c r="U718" s="19"/>
    </x:row>
    <x:row r="719">
      <x:c r="A719" s="17" t="str">
        <x:v>MTS-0718</x:v>
      </x:c>
      <x:c r="B719" s="17" t="str">
        <x:v>RV Camp Setup Checklist</x:v>
      </x:c>
      <x:c r="C719" s="17" t="str">
        <x:v>Travel and Camping</x:v>
      </x:c>
      <x:c r="D719" s="17" t="str">
        <x:v>Mobile App</x:v>
      </x:c>
      <x:c r="E719" s="17" t="str">
        <x:v>Travelers and campers</x:v>
      </x:c>
      <x:c r="F719" s="18" t="str">
        <x:v>RV Camp Setup Checklist provides a focused travel and camping workflow for travelers and campers.</x:v>
      </x:c>
      <x:c r="G719" s="18" t="str">
        <x:v>Offline Plans, Checklists, Budget, Maps</x:v>
      </x:c>
      <x:c r="H719" s="17" t="str">
        <x:v>Ads + Pro</x:v>
      </x:c>
      <x:c r="I719" s="17" t="str">
        <x:v>Small</x:v>
      </x:c>
      <x:c r="J719" s="17" t="str">
        <x:v>New candidate</x:v>
      </x:c>
      <x:c r="K719" s="17" t="str">
        <x:v>Unreviewed</x:v>
      </x:c>
      <x:c r="L719" s="17"/>
      <x:c r="M719" s="17"/>
      <x:c r="N719" s="17"/>
      <x:c r="O719" s="17"/>
      <x:c r="P719" s="17"/>
      <x:c r="Q719" s="17" t="str">
        <x:f>IF(COUNT(L719:P719)&lt;5,"",ROUND((L719*25+M719*20+N719*20+O719*20+P719*15)/5,1))</x:f>
      </x:c>
      <x:c r="R719" s="18" t="str"/>
      <x:c r="S719" s="18" t="str"/>
      <x:c r="T719" s="17" t="str"/>
      <x:c r="U719" s="19"/>
    </x:row>
    <x:row r="720">
      <x:c r="A720" s="17" t="str">
        <x:v>MTS-0719</x:v>
      </x:c>
      <x:c r="B720" s="17" t="str">
        <x:v>Group Trip Coordinator</x:v>
      </x:c>
      <x:c r="C720" s="17" t="str">
        <x:v>Travel and Camping</x:v>
      </x:c>
      <x:c r="D720" s="17" t="str">
        <x:v>Mobile App</x:v>
      </x:c>
      <x:c r="E720" s="17" t="str">
        <x:v>Travelers and campers</x:v>
      </x:c>
      <x:c r="F720" s="18" t="str">
        <x:v>Group Trip Coordinator provides a focused travel and camping workflow for travelers and campers.</x:v>
      </x:c>
      <x:c r="G720" s="18" t="str">
        <x:v>Offline Plans, Checklists, Budget, Maps</x:v>
      </x:c>
      <x:c r="H720" s="17" t="str">
        <x:v>Ads + Pro</x:v>
      </x:c>
      <x:c r="I720" s="17" t="str">
        <x:v>Small</x:v>
      </x:c>
      <x:c r="J720" s="17" t="str">
        <x:v>New candidate</x:v>
      </x:c>
      <x:c r="K720" s="17" t="str">
        <x:v>Unreviewed</x:v>
      </x:c>
      <x:c r="L720" s="17"/>
      <x:c r="M720" s="17"/>
      <x:c r="N720" s="17"/>
      <x:c r="O720" s="17"/>
      <x:c r="P720" s="17"/>
      <x:c r="Q720" s="17" t="str">
        <x:f>IF(COUNT(L720:P720)&lt;5,"",ROUND((L720*25+M720*20+N720*20+O720*20+P720*15)/5,1))</x:f>
      </x:c>
      <x:c r="R720" s="18" t="str"/>
      <x:c r="S720" s="18" t="str"/>
      <x:c r="T720" s="17" t="str"/>
      <x:c r="U720" s="19"/>
    </x:row>
    <x:row r="721">
      <x:c r="A721" s="17" t="str">
        <x:v>MTS-0720</x:v>
      </x:c>
      <x:c r="B721" s="17" t="str">
        <x:v>Accessible Travel Checklist</x:v>
      </x:c>
      <x:c r="C721" s="17" t="str">
        <x:v>Travel and Camping</x:v>
      </x:c>
      <x:c r="D721" s="17" t="str">
        <x:v>Mobile App</x:v>
      </x:c>
      <x:c r="E721" s="17" t="str">
        <x:v>Travelers and campers</x:v>
      </x:c>
      <x:c r="F721" s="18" t="str">
        <x:v>Accessible Travel Checklist provides a focused travel and camping workflow for travelers and campers.</x:v>
      </x:c>
      <x:c r="G721" s="18" t="str">
        <x:v>Offline Plans, Checklists, Budget, Maps</x:v>
      </x:c>
      <x:c r="H721" s="17" t="str">
        <x:v>Ads + Pro</x:v>
      </x:c>
      <x:c r="I721" s="17" t="str">
        <x:v>Small</x:v>
      </x:c>
      <x:c r="J721" s="17" t="str">
        <x:v>New candidate</x:v>
      </x:c>
      <x:c r="K721" s="17" t="str">
        <x:v>Unreviewed</x:v>
      </x:c>
      <x:c r="L721" s="17"/>
      <x:c r="M721" s="17"/>
      <x:c r="N721" s="17"/>
      <x:c r="O721" s="17"/>
      <x:c r="P721" s="17"/>
      <x:c r="Q721" s="17" t="str">
        <x:f>IF(COUNT(L721:P721)&lt;5,"",ROUND((L721*25+M721*20+N721*20+O721*20+P721*15)/5,1))</x:f>
      </x:c>
      <x:c r="R721" s="18" t="str"/>
      <x:c r="S721" s="18" t="str"/>
      <x:c r="T721" s="17" t="str"/>
      <x:c r="U721" s="19"/>
    </x:row>
    <x:row r="722">
      <x:c r="A722" s="17" t="str">
        <x:v>MTS-0721</x:v>
      </x:c>
      <x:c r="B722" s="17" t="str">
        <x:v>Boat Maintenance Log</x:v>
      </x:c>
      <x:c r="C722" s="17" t="str">
        <x:v>Boating and Marine</x:v>
      </x:c>
      <x:c r="D722" s="17" t="str">
        <x:v>Mobile App</x:v>
      </x:c>
      <x:c r="E722" s="17" t="str">
        <x:v>Boat owners and anglers</x:v>
      </x:c>
      <x:c r="F722" s="18" t="str">
        <x:v>Boat Maintenance Log provides a focused boating and marine workflow for boat owners and anglers.</x:v>
      </x:c>
      <x:c r="G722" s="18" t="str">
        <x:v>Maintenance, Checklist, Weather, Reports</x:v>
      </x:c>
      <x:c r="H722" s="17" t="str">
        <x:v>Paid + Pro</x:v>
      </x:c>
      <x:c r="I722" s="17" t="str">
        <x:v>Medium</x:v>
      </x:c>
      <x:c r="J722" s="17" t="str">
        <x:v>New candidate</x:v>
      </x:c>
      <x:c r="K722" s="17" t="str">
        <x:v>Unreviewed</x:v>
      </x:c>
      <x:c r="L722" s="17"/>
      <x:c r="M722" s="17"/>
      <x:c r="N722" s="17"/>
      <x:c r="O722" s="17"/>
      <x:c r="P722" s="17"/>
      <x:c r="Q722" s="17" t="str">
        <x:f>IF(COUNT(L722:P722)&lt;5,"",ROUND((L722*25+M722*20+N722*20+O722*20+P722*15)/5,1))</x:f>
      </x:c>
      <x:c r="R722" s="18" t="str"/>
      <x:c r="S722" s="18" t="str"/>
      <x:c r="T722" s="17" t="str"/>
      <x:c r="U722" s="19"/>
    </x:row>
    <x:row r="723">
      <x:c r="A723" s="17" t="str">
        <x:v>MTS-0722</x:v>
      </x:c>
      <x:c r="B723" s="17" t="str">
        <x:v>Pre-Launch Checklist</x:v>
      </x:c>
      <x:c r="C723" s="17" t="str">
        <x:v>Boating and Marine</x:v>
      </x:c>
      <x:c r="D723" s="17" t="str">
        <x:v>Mobile App</x:v>
      </x:c>
      <x:c r="E723" s="17" t="str">
        <x:v>Boat owners and anglers</x:v>
      </x:c>
      <x:c r="F723" s="18" t="str">
        <x:v>Pre-Launch Checklist provides a focused boating and marine workflow for boat owners and anglers.</x:v>
      </x:c>
      <x:c r="G723" s="18" t="str">
        <x:v>Maintenance, Checklist, Weather, Reports</x:v>
      </x:c>
      <x:c r="H723" s="17" t="str">
        <x:v>Paid + Pro</x:v>
      </x:c>
      <x:c r="I723" s="17" t="str">
        <x:v>Medium</x:v>
      </x:c>
      <x:c r="J723" s="17" t="str">
        <x:v>New candidate</x:v>
      </x:c>
      <x:c r="K723" s="17" t="str">
        <x:v>Unreviewed</x:v>
      </x:c>
      <x:c r="L723" s="17"/>
      <x:c r="M723" s="17"/>
      <x:c r="N723" s="17"/>
      <x:c r="O723" s="17"/>
      <x:c r="P723" s="17"/>
      <x:c r="Q723" s="17" t="str">
        <x:f>IF(COUNT(L723:P723)&lt;5,"",ROUND((L723*25+M723*20+N723*20+O723*20+P723*15)/5,1))</x:f>
      </x:c>
      <x:c r="R723" s="18" t="str"/>
      <x:c r="S723" s="18" t="str"/>
      <x:c r="T723" s="17" t="str"/>
      <x:c r="U723" s="19"/>
    </x:row>
    <x:row r="724">
      <x:c r="A724" s="17" t="str">
        <x:v>MTS-0723</x:v>
      </x:c>
      <x:c r="B724" s="17" t="str">
        <x:v>Trailer Boat Inspection</x:v>
      </x:c>
      <x:c r="C724" s="17" t="str">
        <x:v>Boating and Marine</x:v>
      </x:c>
      <x:c r="D724" s="17" t="str">
        <x:v>Mobile App</x:v>
      </x:c>
      <x:c r="E724" s="17" t="str">
        <x:v>Boat owners and anglers</x:v>
      </x:c>
      <x:c r="F724" s="18" t="str">
        <x:v>Trailer Boat Inspection provides a focused boating and marine workflow for boat owners and anglers.</x:v>
      </x:c>
      <x:c r="G724" s="18" t="str">
        <x:v>Maintenance, Checklist, Weather, Reports</x:v>
      </x:c>
      <x:c r="H724" s="17" t="str">
        <x:v>Paid + Pro</x:v>
      </x:c>
      <x:c r="I724" s="17" t="str">
        <x:v>Medium</x:v>
      </x:c>
      <x:c r="J724" s="17" t="str">
        <x:v>New candidate</x:v>
      </x:c>
      <x:c r="K724" s="17" t="str">
        <x:v>Unreviewed</x:v>
      </x:c>
      <x:c r="L724" s="17"/>
      <x:c r="M724" s="17"/>
      <x:c r="N724" s="17"/>
      <x:c r="O724" s="17"/>
      <x:c r="P724" s="17"/>
      <x:c r="Q724" s="17" t="str">
        <x:f>IF(COUNT(L724:P724)&lt;5,"",ROUND((L724*25+M724*20+N724*20+O724*20+P724*15)/5,1))</x:f>
      </x:c>
      <x:c r="R724" s="18" t="str"/>
      <x:c r="S724" s="18" t="str"/>
      <x:c r="T724" s="17" t="str"/>
      <x:c r="U724" s="19"/>
    </x:row>
    <x:row r="725">
      <x:c r="A725" s="17" t="str">
        <x:v>MTS-0724</x:v>
      </x:c>
      <x:c r="B725" s="17" t="str">
        <x:v>Marine Fuel Planner</x:v>
      </x:c>
      <x:c r="C725" s="17" t="str">
        <x:v>Boating and Marine</x:v>
      </x:c>
      <x:c r="D725" s="17" t="str">
        <x:v>Mobile App</x:v>
      </x:c>
      <x:c r="E725" s="17" t="str">
        <x:v>Boat owners and anglers</x:v>
      </x:c>
      <x:c r="F725" s="18" t="str">
        <x:v>Marine Fuel Planner provides a focused boating and marine workflow for boat owners and anglers.</x:v>
      </x:c>
      <x:c r="G725" s="18" t="str">
        <x:v>Maintenance, Checklist, Weather, Reports</x:v>
      </x:c>
      <x:c r="H725" s="17" t="str">
        <x:v>Paid + Pro</x:v>
      </x:c>
      <x:c r="I725" s="17" t="str">
        <x:v>Medium</x:v>
      </x:c>
      <x:c r="J725" s="17" t="str">
        <x:v>New candidate</x:v>
      </x:c>
      <x:c r="K725" s="17" t="str">
        <x:v>Unreviewed</x:v>
      </x:c>
      <x:c r="L725" s="17"/>
      <x:c r="M725" s="17"/>
      <x:c r="N725" s="17"/>
      <x:c r="O725" s="17"/>
      <x:c r="P725" s="17"/>
      <x:c r="Q725" s="17" t="str">
        <x:f>IF(COUNT(L725:P725)&lt;5,"",ROUND((L725*25+M725*20+N725*20+O725*20+P725*15)/5,1))</x:f>
      </x:c>
      <x:c r="R725" s="18" t="str"/>
      <x:c r="S725" s="18" t="str"/>
      <x:c r="T725" s="17" t="str"/>
      <x:c r="U725" s="19"/>
    </x:row>
    <x:row r="726">
      <x:c r="A726" s="17" t="str">
        <x:v>MTS-0725</x:v>
      </x:c>
      <x:c r="B726" s="17" t="str">
        <x:v>Docking Checklist</x:v>
      </x:c>
      <x:c r="C726" s="17" t="str">
        <x:v>Boating and Marine</x:v>
      </x:c>
      <x:c r="D726" s="17" t="str">
        <x:v>Mobile App</x:v>
      </x:c>
      <x:c r="E726" s="17" t="str">
        <x:v>Boat owners and anglers</x:v>
      </x:c>
      <x:c r="F726" s="18" t="str">
        <x:v>Docking Checklist provides a focused boating and marine workflow for boat owners and anglers.</x:v>
      </x:c>
      <x:c r="G726" s="18" t="str">
        <x:v>Maintenance, Checklist, Weather, Reports</x:v>
      </x:c>
      <x:c r="H726" s="17" t="str">
        <x:v>Paid + Pro</x:v>
      </x:c>
      <x:c r="I726" s="17" t="str">
        <x:v>Medium</x:v>
      </x:c>
      <x:c r="J726" s="17" t="str">
        <x:v>New candidate</x:v>
      </x:c>
      <x:c r="K726" s="17" t="str">
        <x:v>Unreviewed</x:v>
      </x:c>
      <x:c r="L726" s="17"/>
      <x:c r="M726" s="17"/>
      <x:c r="N726" s="17"/>
      <x:c r="O726" s="17"/>
      <x:c r="P726" s="17"/>
      <x:c r="Q726" s="17" t="str">
        <x:f>IF(COUNT(L726:P726)&lt;5,"",ROUND((L726*25+M726*20+N726*20+O726*20+P726*15)/5,1))</x:f>
      </x:c>
      <x:c r="R726" s="18" t="str"/>
      <x:c r="S726" s="18" t="str"/>
      <x:c r="T726" s="17" t="str"/>
      <x:c r="U726" s="19"/>
    </x:row>
    <x:row r="727">
      <x:c r="A727" s="17" t="str">
        <x:v>MTS-0726</x:v>
      </x:c>
      <x:c r="B727" s="17" t="str">
        <x:v>Boat Equipment Inventory</x:v>
      </x:c>
      <x:c r="C727" s="17" t="str">
        <x:v>Boating and Marine</x:v>
      </x:c>
      <x:c r="D727" s="17" t="str">
        <x:v>Mobile App</x:v>
      </x:c>
      <x:c r="E727" s="17" t="str">
        <x:v>Boat owners and anglers</x:v>
      </x:c>
      <x:c r="F727" s="18" t="str">
        <x:v>Boat Equipment Inventory provides a focused boating and marine workflow for boat owners and anglers.</x:v>
      </x:c>
      <x:c r="G727" s="18" t="str">
        <x:v>Maintenance, Checklist, Weather, Reports</x:v>
      </x:c>
      <x:c r="H727" s="17" t="str">
        <x:v>Paid + Pro</x:v>
      </x:c>
      <x:c r="I727" s="17" t="str">
        <x:v>Medium</x:v>
      </x:c>
      <x:c r="J727" s="17" t="str">
        <x:v>New candidate</x:v>
      </x:c>
      <x:c r="K727" s="17" t="str">
        <x:v>Unreviewed</x:v>
      </x:c>
      <x:c r="L727" s="17"/>
      <x:c r="M727" s="17"/>
      <x:c r="N727" s="17"/>
      <x:c r="O727" s="17"/>
      <x:c r="P727" s="17"/>
      <x:c r="Q727" s="17" t="str">
        <x:f>IF(COUNT(L727:P727)&lt;5,"",ROUND((L727*25+M727*20+N727*20+O727*20+P727*15)/5,1))</x:f>
      </x:c>
      <x:c r="R727" s="18" t="str"/>
      <x:c r="S727" s="18" t="str"/>
      <x:c r="T727" s="17" t="str"/>
      <x:c r="U727" s="19"/>
    </x:row>
    <x:row r="728">
      <x:c r="A728" s="17" t="str">
        <x:v>MTS-0727</x:v>
      </x:c>
      <x:c r="B728" s="17" t="str">
        <x:v>Bilge Inspection Log</x:v>
      </x:c>
      <x:c r="C728" s="17" t="str">
        <x:v>Boating and Marine</x:v>
      </x:c>
      <x:c r="D728" s="17" t="str">
        <x:v>Mobile App</x:v>
      </x:c>
      <x:c r="E728" s="17" t="str">
        <x:v>Boat owners and anglers</x:v>
      </x:c>
      <x:c r="F728" s="18" t="str">
        <x:v>Bilge Inspection Log provides a focused boating and marine workflow for boat owners and anglers.</x:v>
      </x:c>
      <x:c r="G728" s="18" t="str">
        <x:v>Maintenance, Checklist, Weather, Reports</x:v>
      </x:c>
      <x:c r="H728" s="17" t="str">
        <x:v>Paid + Pro</x:v>
      </x:c>
      <x:c r="I728" s="17" t="str">
        <x:v>Medium</x:v>
      </x:c>
      <x:c r="J728" s="17" t="str">
        <x:v>New candidate</x:v>
      </x:c>
      <x:c r="K728" s="17" t="str">
        <x:v>Unreviewed</x:v>
      </x:c>
      <x:c r="L728" s="17"/>
      <x:c r="M728" s="17"/>
      <x:c r="N728" s="17"/>
      <x:c r="O728" s="17"/>
      <x:c r="P728" s="17"/>
      <x:c r="Q728" s="17" t="str">
        <x:f>IF(COUNT(L728:P728)&lt;5,"",ROUND((L728*25+M728*20+N728*20+O728*20+P728*15)/5,1))</x:f>
      </x:c>
      <x:c r="R728" s="18" t="str"/>
      <x:c r="S728" s="18" t="str"/>
      <x:c r="T728" s="17" t="str"/>
      <x:c r="U728" s="19"/>
    </x:row>
    <x:row r="729">
      <x:c r="A729" s="17" t="str">
        <x:v>MTS-0728</x:v>
      </x:c>
      <x:c r="B729" s="17" t="str">
        <x:v>Fishing Trip Vessel Log</x:v>
      </x:c>
      <x:c r="C729" s="17" t="str">
        <x:v>Boating and Marine</x:v>
      </x:c>
      <x:c r="D729" s="17" t="str">
        <x:v>Mobile App</x:v>
      </x:c>
      <x:c r="E729" s="17" t="str">
        <x:v>Boat owners and anglers</x:v>
      </x:c>
      <x:c r="F729" s="18" t="str">
        <x:v>Fishing Trip Vessel Log provides a focused boating and marine workflow for boat owners and anglers.</x:v>
      </x:c>
      <x:c r="G729" s="18" t="str">
        <x:v>Maintenance, Checklist, Weather, Reports</x:v>
      </x:c>
      <x:c r="H729" s="17" t="str">
        <x:v>Paid + Pro</x:v>
      </x:c>
      <x:c r="I729" s="17" t="str">
        <x:v>Medium</x:v>
      </x:c>
      <x:c r="J729" s="17" t="str">
        <x:v>New candidate</x:v>
      </x:c>
      <x:c r="K729" s="17" t="str">
        <x:v>Unreviewed</x:v>
      </x:c>
      <x:c r="L729" s="17"/>
      <x:c r="M729" s="17"/>
      <x:c r="N729" s="17"/>
      <x:c r="O729" s="17"/>
      <x:c r="P729" s="17"/>
      <x:c r="Q729" s="17" t="str">
        <x:f>IF(COUNT(L729:P729)&lt;5,"",ROUND((L729*25+M729*20+N729*20+O729*20+P729*15)/5,1))</x:f>
      </x:c>
      <x:c r="R729" s="18" t="str"/>
      <x:c r="S729" s="18" t="str"/>
      <x:c r="T729" s="17" t="str"/>
      <x:c r="U729" s="19"/>
    </x:row>
    <x:row r="730">
      <x:c r="A730" s="17" t="str">
        <x:v>MTS-0729</x:v>
      </x:c>
      <x:c r="B730" s="17" t="str">
        <x:v>Boat Winterization Checklist</x:v>
      </x:c>
      <x:c r="C730" s="17" t="str">
        <x:v>Boating and Marine</x:v>
      </x:c>
      <x:c r="D730" s="17" t="str">
        <x:v>Mobile App</x:v>
      </x:c>
      <x:c r="E730" s="17" t="str">
        <x:v>Boat owners and anglers</x:v>
      </x:c>
      <x:c r="F730" s="18" t="str">
        <x:v>Boat Winterization Checklist provides a focused boating and marine workflow for boat owners and anglers.</x:v>
      </x:c>
      <x:c r="G730" s="18" t="str">
        <x:v>Maintenance, Checklist, Weather, Reports</x:v>
      </x:c>
      <x:c r="H730" s="17" t="str">
        <x:v>Paid + Pro</x:v>
      </x:c>
      <x:c r="I730" s="17" t="str">
        <x:v>Medium</x:v>
      </x:c>
      <x:c r="J730" s="17" t="str">
        <x:v>New candidate</x:v>
      </x:c>
      <x:c r="K730" s="17" t="str">
        <x:v>Unreviewed</x:v>
      </x:c>
      <x:c r="L730" s="17"/>
      <x:c r="M730" s="17"/>
      <x:c r="N730" s="17"/>
      <x:c r="O730" s="17"/>
      <x:c r="P730" s="17"/>
      <x:c r="Q730" s="17" t="str">
        <x:f>IF(COUNT(L730:P730)&lt;5,"",ROUND((L730*25+M730*20+N730*20+O730*20+P730*15)/5,1))</x:f>
      </x:c>
      <x:c r="R730" s="18" t="str"/>
      <x:c r="S730" s="18" t="str"/>
      <x:c r="T730" s="17" t="str"/>
      <x:c r="U730" s="19"/>
    </x:row>
    <x:row r="731">
      <x:c r="A731" s="17" t="str">
        <x:v>MTS-0730</x:v>
      </x:c>
      <x:c r="B731" s="17" t="str">
        <x:v>Marine Battery Tracker</x:v>
      </x:c>
      <x:c r="C731" s="17" t="str">
        <x:v>Boating and Marine</x:v>
      </x:c>
      <x:c r="D731" s="17" t="str">
        <x:v>Mobile App</x:v>
      </x:c>
      <x:c r="E731" s="17" t="str">
        <x:v>Boat owners and anglers</x:v>
      </x:c>
      <x:c r="F731" s="18" t="str">
        <x:v>Marine Battery Tracker provides a focused boating and marine workflow for boat owners and anglers.</x:v>
      </x:c>
      <x:c r="G731" s="18" t="str">
        <x:v>Maintenance, Checklist, Weather, Reports</x:v>
      </x:c>
      <x:c r="H731" s="17" t="str">
        <x:v>Paid + Pro</x:v>
      </x:c>
      <x:c r="I731" s="17" t="str">
        <x:v>Medium</x:v>
      </x:c>
      <x:c r="J731" s="17" t="str">
        <x:v>New candidate</x:v>
      </x:c>
      <x:c r="K731" s="17" t="str">
        <x:v>Unreviewed</x:v>
      </x:c>
      <x:c r="L731" s="17"/>
      <x:c r="M731" s="17"/>
      <x:c r="N731" s="17"/>
      <x:c r="O731" s="17"/>
      <x:c r="P731" s="17"/>
      <x:c r="Q731" s="17" t="str">
        <x:f>IF(COUNT(L731:P731)&lt;5,"",ROUND((L731*25+M731*20+N731*20+O731*20+P731*15)/5,1))</x:f>
      </x:c>
      <x:c r="R731" s="18" t="str"/>
      <x:c r="S731" s="18" t="str"/>
      <x:c r="T731" s="17" t="str"/>
      <x:c r="U731" s="19"/>
    </x:row>
    <x:row r="732">
      <x:c r="A732" s="17" t="str">
        <x:v>MTS-0731</x:v>
      </x:c>
      <x:c r="B732" s="17" t="str">
        <x:v>Float Plan Builder</x:v>
      </x:c>
      <x:c r="C732" s="17" t="str">
        <x:v>Boating and Marine</x:v>
      </x:c>
      <x:c r="D732" s="17" t="str">
        <x:v>Mobile App</x:v>
      </x:c>
      <x:c r="E732" s="17" t="str">
        <x:v>Boat owners and anglers</x:v>
      </x:c>
      <x:c r="F732" s="18" t="str">
        <x:v>Float Plan Builder provides a focused boating and marine workflow for boat owners and anglers.</x:v>
      </x:c>
      <x:c r="G732" s="18" t="str">
        <x:v>Maintenance, Checklist, Weather, Reports</x:v>
      </x:c>
      <x:c r="H732" s="17" t="str">
        <x:v>Paid + Pro</x:v>
      </x:c>
      <x:c r="I732" s="17" t="str">
        <x:v>Medium</x:v>
      </x:c>
      <x:c r="J732" s="17" t="str">
        <x:v>New candidate</x:v>
      </x:c>
      <x:c r="K732" s="17" t="str">
        <x:v>Unreviewed</x:v>
      </x:c>
      <x:c r="L732" s="17"/>
      <x:c r="M732" s="17"/>
      <x:c r="N732" s="17"/>
      <x:c r="O732" s="17"/>
      <x:c r="P732" s="17"/>
      <x:c r="Q732" s="17" t="str">
        <x:f>IF(COUNT(L732:P732)&lt;5,"",ROUND((L732*25+M732*20+N732*20+O732*20+P732*15)/5,1))</x:f>
      </x:c>
      <x:c r="R732" s="18" t="str"/>
      <x:c r="S732" s="18" t="str"/>
      <x:c r="T732" s="17" t="str"/>
      <x:c r="U732" s="19"/>
    </x:row>
    <x:row r="733">
      <x:c r="A733" s="17" t="str">
        <x:v>MTS-0732</x:v>
      </x:c>
      <x:c r="B733" s="17" t="str">
        <x:v>Boat Damage Photo Report</x:v>
      </x:c>
      <x:c r="C733" s="17" t="str">
        <x:v>Boating and Marine</x:v>
      </x:c>
      <x:c r="D733" s="17" t="str">
        <x:v>Mobile App</x:v>
      </x:c>
      <x:c r="E733" s="17" t="str">
        <x:v>Boat owners and anglers</x:v>
      </x:c>
      <x:c r="F733" s="18" t="str">
        <x:v>Boat Damage Photo Report provides a focused boating and marine workflow for boat owners and anglers.</x:v>
      </x:c>
      <x:c r="G733" s="18" t="str">
        <x:v>Maintenance, Checklist, Weather, Reports</x:v>
      </x:c>
      <x:c r="H733" s="17" t="str">
        <x:v>Paid + Pro</x:v>
      </x:c>
      <x:c r="I733" s="17" t="str">
        <x:v>Medium</x:v>
      </x:c>
      <x:c r="J733" s="17" t="str">
        <x:v>New candidate</x:v>
      </x:c>
      <x:c r="K733" s="17" t="str">
        <x:v>Unreviewed</x:v>
      </x:c>
      <x:c r="L733" s="17"/>
      <x:c r="M733" s="17"/>
      <x:c r="N733" s="17"/>
      <x:c r="O733" s="17"/>
      <x:c r="P733" s="17"/>
      <x:c r="Q733" s="17" t="str">
        <x:f>IF(COUNT(L733:P733)&lt;5,"",ROUND((L733*25+M733*20+N733*20+O733*20+P733*15)/5,1))</x:f>
      </x:c>
      <x:c r="R733" s="18" t="str"/>
      <x:c r="S733" s="18" t="str"/>
      <x:c r="T733" s="17" t="str"/>
      <x:c r="U733" s="19"/>
    </x:row>
    <x:row r="734">
      <x:c r="A734" s="17" t="str">
        <x:v>MTS-0733</x:v>
      </x:c>
      <x:c r="B734" s="17" t="str">
        <x:v>Rebar Quantity Estimator</x:v>
      </x:c>
      <x:c r="C734" s="17" t="str">
        <x:v>Construction Specialty</x:v>
      </x:c>
      <x:c r="D734" s="17" t="str">
        <x:v>Mobile App</x:v>
      </x:c>
      <x:c r="E734" s="17" t="str">
        <x:v>Specialty contractors</x:v>
      </x:c>
      <x:c r="F734" s="18" t="str">
        <x:v>Rebar Quantity Estimator provides a focused construction specialty workflow for specialty contractors.</x:v>
      </x:c>
      <x:c r="G734" s="18" t="str">
        <x:v>Estimator, Checklist, Camera, Reports</x:v>
      </x:c>
      <x:c r="H734" s="17" t="str">
        <x:v>Paid + Pro</x:v>
      </x:c>
      <x:c r="I734" s="17" t="str">
        <x:v>Medium</x:v>
      </x:c>
      <x:c r="J734" s="17" t="str">
        <x:v>New candidate</x:v>
      </x:c>
      <x:c r="K734" s="17" t="str">
        <x:v>Unreviewed</x:v>
      </x:c>
      <x:c r="L734" s="17"/>
      <x:c r="M734" s="17"/>
      <x:c r="N734" s="17"/>
      <x:c r="O734" s="17"/>
      <x:c r="P734" s="17"/>
      <x:c r="Q734" s="17" t="str">
        <x:f>IF(COUNT(L734:P734)&lt;5,"",ROUND((L734*25+M734*20+N734*20+O734*20+P734*15)/5,1))</x:f>
      </x:c>
      <x:c r="R734" s="18" t="str"/>
      <x:c r="S734" s="18" t="str"/>
      <x:c r="T734" s="17" t="str"/>
      <x:c r="U734" s="19"/>
    </x:row>
    <x:row r="735">
      <x:c r="A735" s="17" t="str">
        <x:v>MTS-0734</x:v>
      </x:c>
      <x:c r="B735" s="17" t="str">
        <x:v>Masonry Block Estimator</x:v>
      </x:c>
      <x:c r="C735" s="17" t="str">
        <x:v>Construction Specialty</x:v>
      </x:c>
      <x:c r="D735" s="17" t="str">
        <x:v>Mobile App</x:v>
      </x:c>
      <x:c r="E735" s="17" t="str">
        <x:v>Specialty contractors</x:v>
      </x:c>
      <x:c r="F735" s="18" t="str">
        <x:v>Masonry Block Estimator provides a focused construction specialty workflow for specialty contractors.</x:v>
      </x:c>
      <x:c r="G735" s="18" t="str">
        <x:v>Estimator, Checklist, Camera, Reports</x:v>
      </x:c>
      <x:c r="H735" s="17" t="str">
        <x:v>Paid + Pro</x:v>
      </x:c>
      <x:c r="I735" s="17" t="str">
        <x:v>Medium</x:v>
      </x:c>
      <x:c r="J735" s="17" t="str">
        <x:v>New candidate</x:v>
      </x:c>
      <x:c r="K735" s="17" t="str">
        <x:v>Unreviewed</x:v>
      </x:c>
      <x:c r="L735" s="17"/>
      <x:c r="M735" s="17"/>
      <x:c r="N735" s="17"/>
      <x:c r="O735" s="17"/>
      <x:c r="P735" s="17"/>
      <x:c r="Q735" s="17" t="str">
        <x:f>IF(COUNT(L735:P735)&lt;5,"",ROUND((L735*25+M735*20+N735*20+O735*20+P735*15)/5,1))</x:f>
      </x:c>
      <x:c r="R735" s="18" t="str"/>
      <x:c r="S735" s="18" t="str"/>
      <x:c r="T735" s="17" t="str"/>
      <x:c r="U735" s="19"/>
    </x:row>
    <x:row r="736">
      <x:c r="A736" s="17" t="str">
        <x:v>MTS-0735</x:v>
      </x:c>
      <x:c r="B736" s="17" t="str">
        <x:v>Siding Material Estimator</x:v>
      </x:c>
      <x:c r="C736" s="17" t="str">
        <x:v>Construction Specialty</x:v>
      </x:c>
      <x:c r="D736" s="17" t="str">
        <x:v>Mobile App</x:v>
      </x:c>
      <x:c r="E736" s="17" t="str">
        <x:v>Specialty contractors</x:v>
      </x:c>
      <x:c r="F736" s="18" t="str">
        <x:v>Siding Material Estimator provides a focused construction specialty workflow for specialty contractors.</x:v>
      </x:c>
      <x:c r="G736" s="18" t="str">
        <x:v>Estimator, Checklist, Camera, Reports</x:v>
      </x:c>
      <x:c r="H736" s="17" t="str">
        <x:v>Paid + Pro</x:v>
      </x:c>
      <x:c r="I736" s="17" t="str">
        <x:v>Medium</x:v>
      </x:c>
      <x:c r="J736" s="17" t="str">
        <x:v>New candidate</x:v>
      </x:c>
      <x:c r="K736" s="17" t="str">
        <x:v>Unreviewed</x:v>
      </x:c>
      <x:c r="L736" s="17"/>
      <x:c r="M736" s="17"/>
      <x:c r="N736" s="17"/>
      <x:c r="O736" s="17"/>
      <x:c r="P736" s="17"/>
      <x:c r="Q736" s="17" t="str">
        <x:f>IF(COUNT(L736:P736)&lt;5,"",ROUND((L736*25+M736*20+N736*20+O736*20+P736*15)/5,1))</x:f>
      </x:c>
      <x:c r="R736" s="18" t="str"/>
      <x:c r="S736" s="18" t="str"/>
      <x:c r="T736" s="17" t="str"/>
      <x:c r="U736" s="19"/>
    </x:row>
    <x:row r="737">
      <x:c r="A737" s="17" t="str">
        <x:v>MTS-0736</x:v>
      </x:c>
      <x:c r="B737" s="17" t="str">
        <x:v>Gutter Length Estimator</x:v>
      </x:c>
      <x:c r="C737" s="17" t="str">
        <x:v>Construction Specialty</x:v>
      </x:c>
      <x:c r="D737" s="17" t="str">
        <x:v>Mobile App</x:v>
      </x:c>
      <x:c r="E737" s="17" t="str">
        <x:v>Specialty contractors</x:v>
      </x:c>
      <x:c r="F737" s="18" t="str">
        <x:v>Gutter Length Estimator provides a focused construction specialty workflow for specialty contractors.</x:v>
      </x:c>
      <x:c r="G737" s="18" t="str">
        <x:v>Estimator, Checklist, Camera, Reports</x:v>
      </x:c>
      <x:c r="H737" s="17" t="str">
        <x:v>Paid + Pro</x:v>
      </x:c>
      <x:c r="I737" s="17" t="str">
        <x:v>Medium</x:v>
      </x:c>
      <x:c r="J737" s="17" t="str">
        <x:v>New candidate</x:v>
      </x:c>
      <x:c r="K737" s="17" t="str">
        <x:v>Unreviewed</x:v>
      </x:c>
      <x:c r="L737" s="17"/>
      <x:c r="M737" s="17"/>
      <x:c r="N737" s="17"/>
      <x:c r="O737" s="17"/>
      <x:c r="P737" s="17"/>
      <x:c r="Q737" s="17" t="str">
        <x:f>IF(COUNT(L737:P737)&lt;5,"",ROUND((L737*25+M737*20+N737*20+O737*20+P737*15)/5,1))</x:f>
      </x:c>
      <x:c r="R737" s="18" t="str"/>
      <x:c r="S737" s="18" t="str"/>
      <x:c r="T737" s="17" t="str"/>
      <x:c r="U737" s="19"/>
    </x:row>
    <x:row r="738">
      <x:c r="A738" s="17" t="str">
        <x:v>MTS-0737</x:v>
      </x:c>
      <x:c r="B738" s="17" t="str">
        <x:v>Stair Layout Calculator</x:v>
      </x:c>
      <x:c r="C738" s="17" t="str">
        <x:v>Construction Specialty</x:v>
      </x:c>
      <x:c r="D738" s="17" t="str">
        <x:v>Mobile App</x:v>
      </x:c>
      <x:c r="E738" s="17" t="str">
        <x:v>Specialty contractors</x:v>
      </x:c>
      <x:c r="F738" s="18" t="str">
        <x:v>Stair Layout Calculator provides a focused construction specialty workflow for specialty contractors.</x:v>
      </x:c>
      <x:c r="G738" s="18" t="str">
        <x:v>Estimator, Checklist, Camera, Reports</x:v>
      </x:c>
      <x:c r="H738" s="17" t="str">
        <x:v>Paid + Pro</x:v>
      </x:c>
      <x:c r="I738" s="17" t="str">
        <x:v>Medium</x:v>
      </x:c>
      <x:c r="J738" s="17" t="str">
        <x:v>New candidate</x:v>
      </x:c>
      <x:c r="K738" s="17" t="str">
        <x:v>Unreviewed</x:v>
      </x:c>
      <x:c r="L738" s="17"/>
      <x:c r="M738" s="17"/>
      <x:c r="N738" s="17"/>
      <x:c r="O738" s="17"/>
      <x:c r="P738" s="17"/>
      <x:c r="Q738" s="17" t="str">
        <x:f>IF(COUNT(L738:P738)&lt;5,"",ROUND((L738*25+M738*20+N738*20+O738*20+P738*15)/5,1))</x:f>
      </x:c>
      <x:c r="R738" s="18" t="str"/>
      <x:c r="S738" s="18" t="str"/>
      <x:c r="T738" s="17" t="str"/>
      <x:c r="U738" s="19"/>
    </x:row>
    <x:row r="739">
      <x:c r="A739" s="17" t="str">
        <x:v>MTS-0738</x:v>
      </x:c>
      <x:c r="B739" s="17" t="str">
        <x:v>Fastener Quantity Planner</x:v>
      </x:c>
      <x:c r="C739" s="17" t="str">
        <x:v>Construction Specialty</x:v>
      </x:c>
      <x:c r="D739" s="17" t="str">
        <x:v>Mobile App</x:v>
      </x:c>
      <x:c r="E739" s="17" t="str">
        <x:v>Specialty contractors</x:v>
      </x:c>
      <x:c r="F739" s="18" t="str">
        <x:v>Fastener Quantity Planner provides a focused construction specialty workflow for specialty contractors.</x:v>
      </x:c>
      <x:c r="G739" s="18" t="str">
        <x:v>Estimator, Checklist, Camera, Reports</x:v>
      </x:c>
      <x:c r="H739" s="17" t="str">
        <x:v>Paid + Pro</x:v>
      </x:c>
      <x:c r="I739" s="17" t="str">
        <x:v>Medium</x:v>
      </x:c>
      <x:c r="J739" s="17" t="str">
        <x:v>New candidate</x:v>
      </x:c>
      <x:c r="K739" s="17" t="str">
        <x:v>Unreviewed</x:v>
      </x:c>
      <x:c r="L739" s="17"/>
      <x:c r="M739" s="17"/>
      <x:c r="N739" s="17"/>
      <x:c r="O739" s="17"/>
      <x:c r="P739" s="17"/>
      <x:c r="Q739" s="17" t="str">
        <x:f>IF(COUNT(L739:P739)&lt;5,"",ROUND((L739*25+M739*20+N739*20+O739*20+P739*15)/5,1))</x:f>
      </x:c>
      <x:c r="R739" s="18" t="str"/>
      <x:c r="S739" s="18" t="str"/>
      <x:c r="T739" s="17" t="str"/>
      <x:c r="U739" s="19"/>
    </x:row>
    <x:row r="740">
      <x:c r="A740" s="17" t="str">
        <x:v>MTS-0739</x:v>
      </x:c>
      <x:c r="B740" s="17" t="str">
        <x:v>Sealant Joint Calculator</x:v>
      </x:c>
      <x:c r="C740" s="17" t="str">
        <x:v>Construction Specialty</x:v>
      </x:c>
      <x:c r="D740" s="17" t="str">
        <x:v>Mobile App</x:v>
      </x:c>
      <x:c r="E740" s="17" t="str">
        <x:v>Specialty contractors</x:v>
      </x:c>
      <x:c r="F740" s="18" t="str">
        <x:v>Sealant Joint Calculator provides a focused construction specialty workflow for specialty contractors.</x:v>
      </x:c>
      <x:c r="G740" s="18" t="str">
        <x:v>Estimator, Checklist, Camera, Reports</x:v>
      </x:c>
      <x:c r="H740" s="17" t="str">
        <x:v>Paid + Pro</x:v>
      </x:c>
      <x:c r="I740" s="17" t="str">
        <x:v>Medium</x:v>
      </x:c>
      <x:c r="J740" s="17" t="str">
        <x:v>New candidate</x:v>
      </x:c>
      <x:c r="K740" s="17" t="str">
        <x:v>Unreviewed</x:v>
      </x:c>
      <x:c r="L740" s="17"/>
      <x:c r="M740" s="17"/>
      <x:c r="N740" s="17"/>
      <x:c r="O740" s="17"/>
      <x:c r="P740" s="17"/>
      <x:c r="Q740" s="17" t="str">
        <x:f>IF(COUNT(L740:P740)&lt;5,"",ROUND((L740*25+M740*20+N740*20+O740*20+P740*15)/5,1))</x:f>
      </x:c>
      <x:c r="R740" s="18" t="str"/>
      <x:c r="S740" s="18" t="str"/>
      <x:c r="T740" s="17" t="str"/>
      <x:c r="U740" s="19"/>
    </x:row>
    <x:row r="741">
      <x:c r="A741" s="17" t="str">
        <x:v>MTS-0740</x:v>
      </x:c>
      <x:c r="B741" s="17" t="str">
        <x:v>Scaffold Inspection Log</x:v>
      </x:c>
      <x:c r="C741" s="17" t="str">
        <x:v>Construction Specialty</x:v>
      </x:c>
      <x:c r="D741" s="17" t="str">
        <x:v>Mobile App</x:v>
      </x:c>
      <x:c r="E741" s="17" t="str">
        <x:v>Specialty contractors</x:v>
      </x:c>
      <x:c r="F741" s="18" t="str">
        <x:v>Scaffold Inspection Log provides a focused construction specialty workflow for specialty contractors.</x:v>
      </x:c>
      <x:c r="G741" s="18" t="str">
        <x:v>Estimator, Checklist, Camera, Reports</x:v>
      </x:c>
      <x:c r="H741" s="17" t="str">
        <x:v>Paid + Pro</x:v>
      </x:c>
      <x:c r="I741" s="17" t="str">
        <x:v>Medium</x:v>
      </x:c>
      <x:c r="J741" s="17" t="str">
        <x:v>New candidate</x:v>
      </x:c>
      <x:c r="K741" s="17" t="str">
        <x:v>Unreviewed</x:v>
      </x:c>
      <x:c r="L741" s="17"/>
      <x:c r="M741" s="17"/>
      <x:c r="N741" s="17"/>
      <x:c r="O741" s="17"/>
      <x:c r="P741" s="17"/>
      <x:c r="Q741" s="17" t="str">
        <x:f>IF(COUNT(L741:P741)&lt;5,"",ROUND((L741*25+M741*20+N741*20+O741*20+P741*15)/5,1))</x:f>
      </x:c>
      <x:c r="R741" s="18" t="str"/>
      <x:c r="S741" s="18" t="str"/>
      <x:c r="T741" s="17" t="str"/>
      <x:c r="U741" s="19"/>
    </x:row>
    <x:row r="742">
      <x:c r="A742" s="17" t="str">
        <x:v>MTS-0741</x:v>
      </x:c>
      <x:c r="B742" s="17" t="str">
        <x:v>Construction Delivery Log</x:v>
      </x:c>
      <x:c r="C742" s="17" t="str">
        <x:v>Construction Specialty</x:v>
      </x:c>
      <x:c r="D742" s="17" t="str">
        <x:v>Mobile App</x:v>
      </x:c>
      <x:c r="E742" s="17" t="str">
        <x:v>Specialty contractors</x:v>
      </x:c>
      <x:c r="F742" s="18" t="str">
        <x:v>Construction Delivery Log provides a focused construction specialty workflow for specialty contractors.</x:v>
      </x:c>
      <x:c r="G742" s="18" t="str">
        <x:v>Estimator, Checklist, Camera, Reports</x:v>
      </x:c>
      <x:c r="H742" s="17" t="str">
        <x:v>Paid + Pro</x:v>
      </x:c>
      <x:c r="I742" s="17" t="str">
        <x:v>Medium</x:v>
      </x:c>
      <x:c r="J742" s="17" t="str">
        <x:v>New candidate</x:v>
      </x:c>
      <x:c r="K742" s="17" t="str">
        <x:v>Unreviewed</x:v>
      </x:c>
      <x:c r="L742" s="17"/>
      <x:c r="M742" s="17"/>
      <x:c r="N742" s="17"/>
      <x:c r="O742" s="17"/>
      <x:c r="P742" s="17"/>
      <x:c r="Q742" s="17" t="str">
        <x:f>IF(COUNT(L742:P742)&lt;5,"",ROUND((L742*25+M742*20+N742*20+O742*20+P742*15)/5,1))</x:f>
      </x:c>
      <x:c r="R742" s="18" t="str"/>
      <x:c r="S742" s="18" t="str"/>
      <x:c r="T742" s="17" t="str"/>
      <x:c r="U742" s="19"/>
    </x:row>
    <x:row r="743">
      <x:c r="A743" s="17" t="str">
        <x:v>MTS-0742</x:v>
      </x:c>
      <x:c r="B743" s="17" t="str">
        <x:v>Change Order Notebook</x:v>
      </x:c>
      <x:c r="C743" s="17" t="str">
        <x:v>Construction Specialty</x:v>
      </x:c>
      <x:c r="D743" s="17" t="str">
        <x:v>Mobile App</x:v>
      </x:c>
      <x:c r="E743" s="17" t="str">
        <x:v>Specialty contractors</x:v>
      </x:c>
      <x:c r="F743" s="18" t="str">
        <x:v>Change Order Notebook provides a focused construction specialty workflow for specialty contractors.</x:v>
      </x:c>
      <x:c r="G743" s="18" t="str">
        <x:v>Estimator, Checklist, Camera, Reports</x:v>
      </x:c>
      <x:c r="H743" s="17" t="str">
        <x:v>Paid + Pro</x:v>
      </x:c>
      <x:c r="I743" s="17" t="str">
        <x:v>Medium</x:v>
      </x:c>
      <x:c r="J743" s="17" t="str">
        <x:v>New candidate</x:v>
      </x:c>
      <x:c r="K743" s="17" t="str">
        <x:v>Unreviewed</x:v>
      </x:c>
      <x:c r="L743" s="17"/>
      <x:c r="M743" s="17"/>
      <x:c r="N743" s="17"/>
      <x:c r="O743" s="17"/>
      <x:c r="P743" s="17"/>
      <x:c r="Q743" s="17" t="str">
        <x:f>IF(COUNT(L743:P743)&lt;5,"",ROUND((L743*25+M743*20+N743*20+O743*20+P743*15)/5,1))</x:f>
      </x:c>
      <x:c r="R743" s="18" t="str"/>
      <x:c r="S743" s="18" t="str"/>
      <x:c r="T743" s="17" t="str"/>
      <x:c r="U743" s="19"/>
    </x:row>
    <x:row r="744">
      <x:c r="A744" s="17" t="str">
        <x:v>MTS-0743</x:v>
      </x:c>
      <x:c r="B744" s="17" t="str">
        <x:v>Material Waste Tracker</x:v>
      </x:c>
      <x:c r="C744" s="17" t="str">
        <x:v>Construction Specialty</x:v>
      </x:c>
      <x:c r="D744" s="17" t="str">
        <x:v>Mobile App</x:v>
      </x:c>
      <x:c r="E744" s="17" t="str">
        <x:v>Specialty contractors</x:v>
      </x:c>
      <x:c r="F744" s="18" t="str">
        <x:v>Material Waste Tracker provides a focused construction specialty workflow for specialty contractors.</x:v>
      </x:c>
      <x:c r="G744" s="18" t="str">
        <x:v>Estimator, Checklist, Camera, Reports</x:v>
      </x:c>
      <x:c r="H744" s="17" t="str">
        <x:v>Paid + Pro</x:v>
      </x:c>
      <x:c r="I744" s="17" t="str">
        <x:v>Medium</x:v>
      </x:c>
      <x:c r="J744" s="17" t="str">
        <x:v>New candidate</x:v>
      </x:c>
      <x:c r="K744" s="17" t="str">
        <x:v>Unreviewed</x:v>
      </x:c>
      <x:c r="L744" s="17"/>
      <x:c r="M744" s="17"/>
      <x:c r="N744" s="17"/>
      <x:c r="O744" s="17"/>
      <x:c r="P744" s="17"/>
      <x:c r="Q744" s="17" t="str">
        <x:f>IF(COUNT(L744:P744)&lt;5,"",ROUND((L744*25+M744*20+N744*20+O744*20+P744*15)/5,1))</x:f>
      </x:c>
      <x:c r="R744" s="18" t="str"/>
      <x:c r="S744" s="18" t="str"/>
      <x:c r="T744" s="17" t="str"/>
      <x:c r="U744" s="19"/>
    </x:row>
    <x:row r="745">
      <x:c r="A745" s="17" t="str">
        <x:v>MTS-0744</x:v>
      </x:c>
      <x:c r="B745" s="17" t="str">
        <x:v>Site Access Checklist</x:v>
      </x:c>
      <x:c r="C745" s="17" t="str">
        <x:v>Construction Specialty</x:v>
      </x:c>
      <x:c r="D745" s="17" t="str">
        <x:v>Mobile App</x:v>
      </x:c>
      <x:c r="E745" s="17" t="str">
        <x:v>Specialty contractors</x:v>
      </x:c>
      <x:c r="F745" s="18" t="str">
        <x:v>Site Access Checklist provides a focused construction specialty workflow for specialty contractors.</x:v>
      </x:c>
      <x:c r="G745" s="18" t="str">
        <x:v>Estimator, Checklist, Camera, Reports</x:v>
      </x:c>
      <x:c r="H745" s="17" t="str">
        <x:v>Paid + Pro</x:v>
      </x:c>
      <x:c r="I745" s="17" t="str">
        <x:v>Medium</x:v>
      </x:c>
      <x:c r="J745" s="17" t="str">
        <x:v>New candidate</x:v>
      </x:c>
      <x:c r="K745" s="17" t="str">
        <x:v>Unreviewed</x:v>
      </x:c>
      <x:c r="L745" s="17"/>
      <x:c r="M745" s="17"/>
      <x:c r="N745" s="17"/>
      <x:c r="O745" s="17"/>
      <x:c r="P745" s="17"/>
      <x:c r="Q745" s="17" t="str">
        <x:f>IF(COUNT(L745:P745)&lt;5,"",ROUND((L745*25+M745*20+N745*20+O745*20+P745*15)/5,1))</x:f>
      </x:c>
      <x:c r="R745" s="18" t="str"/>
      <x:c r="S745" s="18" t="str"/>
      <x:c r="T745" s="17" t="str"/>
      <x:c r="U745" s="19"/>
    </x:row>
    <x:row r="746">
      <x:c r="A746" s="17" t="str">
        <x:v>MTS-0745</x:v>
      </x:c>
      <x:c r="B746" s="17" t="str">
        <x:v>Electrical Load Calculator</x:v>
      </x:c>
      <x:c r="C746" s="17" t="str">
        <x:v>Electrical Trades</x:v>
      </x:c>
      <x:c r="D746" s="17" t="str">
        <x:v>Mobile App</x:v>
      </x:c>
      <x:c r="E746" s="17" t="str">
        <x:v>Electricians and facility teams</x:v>
      </x:c>
      <x:c r="F746" s="18" t="str">
        <x:v>Electrical Load Calculator provides a focused electrical trades workflow for electricians and facility teams.</x:v>
      </x:c>
      <x:c r="G746" s="18" t="str">
        <x:v>Calculator, Inspection, Inventory, Reports</x:v>
      </x:c>
      <x:c r="H746" s="17" t="str">
        <x:v>Paid + Pro</x:v>
      </x:c>
      <x:c r="I746" s="17" t="str">
        <x:v>Medium</x:v>
      </x:c>
      <x:c r="J746" s="17" t="str">
        <x:v>New candidate</x:v>
      </x:c>
      <x:c r="K746" s="17" t="str">
        <x:v>Unreviewed</x:v>
      </x:c>
      <x:c r="L746" s="17"/>
      <x:c r="M746" s="17"/>
      <x:c r="N746" s="17"/>
      <x:c r="O746" s="17"/>
      <x:c r="P746" s="17"/>
      <x:c r="Q746" s="17" t="str">
        <x:f>IF(COUNT(L746:P746)&lt;5,"",ROUND((L746*25+M746*20+N746*20+O746*20+P746*15)/5,1))</x:f>
      </x:c>
      <x:c r="R746" s="18" t="str"/>
      <x:c r="S746" s="18" t="str"/>
      <x:c r="T746" s="17" t="str"/>
      <x:c r="U746" s="19"/>
    </x:row>
    <x:row r="747">
      <x:c r="A747" s="17" t="str">
        <x:v>MTS-0746</x:v>
      </x:c>
      <x:c r="B747" s="17" t="str">
        <x:v>Voltage Drop Calculator</x:v>
      </x:c>
      <x:c r="C747" s="17" t="str">
        <x:v>Electrical Trades</x:v>
      </x:c>
      <x:c r="D747" s="17" t="str">
        <x:v>Mobile App</x:v>
      </x:c>
      <x:c r="E747" s="17" t="str">
        <x:v>Electricians and facility teams</x:v>
      </x:c>
      <x:c r="F747" s="18" t="str">
        <x:v>Voltage Drop Calculator provides a focused electrical trades workflow for electricians and facility teams.</x:v>
      </x:c>
      <x:c r="G747" s="18" t="str">
        <x:v>Calculator, Inspection, Inventory, Reports</x:v>
      </x:c>
      <x:c r="H747" s="17" t="str">
        <x:v>Paid + Pro</x:v>
      </x:c>
      <x:c r="I747" s="17" t="str">
        <x:v>Medium</x:v>
      </x:c>
      <x:c r="J747" s="17" t="str">
        <x:v>New candidate</x:v>
      </x:c>
      <x:c r="K747" s="17" t="str">
        <x:v>Unreviewed</x:v>
      </x:c>
      <x:c r="L747" s="17"/>
      <x:c r="M747" s="17"/>
      <x:c r="N747" s="17"/>
      <x:c r="O747" s="17"/>
      <x:c r="P747" s="17"/>
      <x:c r="Q747" s="17" t="str">
        <x:f>IF(COUNT(L747:P747)&lt;5,"",ROUND((L747*25+M747*20+N747*20+O747*20+P747*15)/5,1))</x:f>
      </x:c>
      <x:c r="R747" s="18" t="str"/>
      <x:c r="S747" s="18" t="str"/>
      <x:c r="T747" s="17" t="str"/>
      <x:c r="U747" s="19"/>
    </x:row>
    <x:row r="748">
      <x:c r="A748" s="17" t="str">
        <x:v>MTS-0747</x:v>
      </x:c>
      <x:c r="B748" s="17" t="str">
        <x:v>Conduit Fill Assistant</x:v>
      </x:c>
      <x:c r="C748" s="17" t="str">
        <x:v>Electrical Trades</x:v>
      </x:c>
      <x:c r="D748" s="17" t="str">
        <x:v>Mobile App</x:v>
      </x:c>
      <x:c r="E748" s="17" t="str">
        <x:v>Electricians and facility teams</x:v>
      </x:c>
      <x:c r="F748" s="18" t="str">
        <x:v>Conduit Fill Assistant provides a focused electrical trades workflow for electricians and facility teams.</x:v>
      </x:c>
      <x:c r="G748" s="18" t="str">
        <x:v>Calculator, Inspection, Inventory, Reports</x:v>
      </x:c>
      <x:c r="H748" s="17" t="str">
        <x:v>Paid + Pro</x:v>
      </x:c>
      <x:c r="I748" s="17" t="str">
        <x:v>Medium</x:v>
      </x:c>
      <x:c r="J748" s="17" t="str">
        <x:v>New candidate</x:v>
      </x:c>
      <x:c r="K748" s="17" t="str">
        <x:v>Unreviewed</x:v>
      </x:c>
      <x:c r="L748" s="17"/>
      <x:c r="M748" s="17"/>
      <x:c r="N748" s="17"/>
      <x:c r="O748" s="17"/>
      <x:c r="P748" s="17"/>
      <x:c r="Q748" s="17" t="str">
        <x:f>IF(COUNT(L748:P748)&lt;5,"",ROUND((L748*25+M748*20+N748*20+O748*20+P748*15)/5,1))</x:f>
      </x:c>
      <x:c r="R748" s="18" t="str"/>
      <x:c r="S748" s="18" t="str"/>
      <x:c r="T748" s="17" t="str"/>
      <x:c r="U748" s="19"/>
    </x:row>
    <x:row r="749">
      <x:c r="A749" s="17" t="str">
        <x:v>MTS-0748</x:v>
      </x:c>
      <x:c r="B749" s="17" t="str">
        <x:v>Panel Circuit Directory</x:v>
      </x:c>
      <x:c r="C749" s="17" t="str">
        <x:v>Electrical Trades</x:v>
      </x:c>
      <x:c r="D749" s="17" t="str">
        <x:v>Mobile App</x:v>
      </x:c>
      <x:c r="E749" s="17" t="str">
        <x:v>Electricians and facility teams</x:v>
      </x:c>
      <x:c r="F749" s="18" t="str">
        <x:v>Panel Circuit Directory provides a focused electrical trades workflow for electricians and facility teams.</x:v>
      </x:c>
      <x:c r="G749" s="18" t="str">
        <x:v>Calculator, Inspection, Inventory, Reports</x:v>
      </x:c>
      <x:c r="H749" s="17" t="str">
        <x:v>Paid + Pro</x:v>
      </x:c>
      <x:c r="I749" s="17" t="str">
        <x:v>Medium</x:v>
      </x:c>
      <x:c r="J749" s="17" t="str">
        <x:v>New candidate</x:v>
      </x:c>
      <x:c r="K749" s="17" t="str">
        <x:v>Unreviewed</x:v>
      </x:c>
      <x:c r="L749" s="17"/>
      <x:c r="M749" s="17"/>
      <x:c r="N749" s="17"/>
      <x:c r="O749" s="17"/>
      <x:c r="P749" s="17"/>
      <x:c r="Q749" s="17" t="str">
        <x:f>IF(COUNT(L749:P749)&lt;5,"",ROUND((L749*25+M749*20+N749*20+O749*20+P749*15)/5,1))</x:f>
      </x:c>
      <x:c r="R749" s="18" t="str"/>
      <x:c r="S749" s="18" t="str"/>
      <x:c r="T749" s="17" t="str"/>
      <x:c r="U749" s="19"/>
    </x:row>
    <x:row r="750">
      <x:c r="A750" s="17" t="str">
        <x:v>MTS-0749</x:v>
      </x:c>
      <x:c r="B750" s="17" t="str">
        <x:v>Electrical Inspection Checklist</x:v>
      </x:c>
      <x:c r="C750" s="17" t="str">
        <x:v>Electrical Trades</x:v>
      </x:c>
      <x:c r="D750" s="17" t="str">
        <x:v>Mobile App</x:v>
      </x:c>
      <x:c r="E750" s="17" t="str">
        <x:v>Electricians and facility teams</x:v>
      </x:c>
      <x:c r="F750" s="18" t="str">
        <x:v>Electrical Inspection Checklist provides a focused electrical trades workflow for electricians and facility teams.</x:v>
      </x:c>
      <x:c r="G750" s="18" t="str">
        <x:v>Calculator, Inspection, Inventory, Reports</x:v>
      </x:c>
      <x:c r="H750" s="17" t="str">
        <x:v>Paid + Pro</x:v>
      </x:c>
      <x:c r="I750" s="17" t="str">
        <x:v>Medium</x:v>
      </x:c>
      <x:c r="J750" s="17" t="str">
        <x:v>New candidate</x:v>
      </x:c>
      <x:c r="K750" s="17" t="str">
        <x:v>Unreviewed</x:v>
      </x:c>
      <x:c r="L750" s="17"/>
      <x:c r="M750" s="17"/>
      <x:c r="N750" s="17"/>
      <x:c r="O750" s="17"/>
      <x:c r="P750" s="17"/>
      <x:c r="Q750" s="17" t="str">
        <x:f>IF(COUNT(L750:P750)&lt;5,"",ROUND((L750*25+M750*20+N750*20+O750*20+P750*15)/5,1))</x:f>
      </x:c>
      <x:c r="R750" s="18" t="str"/>
      <x:c r="S750" s="18" t="str"/>
      <x:c r="T750" s="17" t="str"/>
      <x:c r="U750" s="19"/>
    </x:row>
    <x:row r="751">
      <x:c r="A751" s="17" t="str">
        <x:v>MTS-0750</x:v>
      </x:c>
      <x:c r="B751" s="17" t="str">
        <x:v>Outlet and Switch Counter</x:v>
      </x:c>
      <x:c r="C751" s="17" t="str">
        <x:v>Electrical Trades</x:v>
      </x:c>
      <x:c r="D751" s="17" t="str">
        <x:v>Mobile App</x:v>
      </x:c>
      <x:c r="E751" s="17" t="str">
        <x:v>Electricians and facility teams</x:v>
      </x:c>
      <x:c r="F751" s="18" t="str">
        <x:v>Outlet and Switch Counter provides a focused electrical trades workflow for electricians and facility teams.</x:v>
      </x:c>
      <x:c r="G751" s="18" t="str">
        <x:v>Calculator, Inspection, Inventory, Reports</x:v>
      </x:c>
      <x:c r="H751" s="17" t="str">
        <x:v>Paid + Pro</x:v>
      </x:c>
      <x:c r="I751" s="17" t="str">
        <x:v>Medium</x:v>
      </x:c>
      <x:c r="J751" s="17" t="str">
        <x:v>New candidate</x:v>
      </x:c>
      <x:c r="K751" s="17" t="str">
        <x:v>Unreviewed</x:v>
      </x:c>
      <x:c r="L751" s="17"/>
      <x:c r="M751" s="17"/>
      <x:c r="N751" s="17"/>
      <x:c r="O751" s="17"/>
      <x:c r="P751" s="17"/>
      <x:c r="Q751" s="17" t="str">
        <x:f>IF(COUNT(L751:P751)&lt;5,"",ROUND((L751*25+M751*20+N751*20+O751*20+P751*15)/5,1))</x:f>
      </x:c>
      <x:c r="R751" s="18" t="str"/>
      <x:c r="S751" s="18" t="str"/>
      <x:c r="T751" s="17" t="str"/>
      <x:c r="U751" s="19"/>
    </x:row>
    <x:row r="752">
      <x:c r="A752" s="17" t="str">
        <x:v>MTS-0751</x:v>
      </x:c>
      <x:c r="B752" s="17" t="str">
        <x:v>Lighting Retrofit Estimator</x:v>
      </x:c>
      <x:c r="C752" s="17" t="str">
        <x:v>Electrical Trades</x:v>
      </x:c>
      <x:c r="D752" s="17" t="str">
        <x:v>Mobile App</x:v>
      </x:c>
      <x:c r="E752" s="17" t="str">
        <x:v>Electricians and facility teams</x:v>
      </x:c>
      <x:c r="F752" s="18" t="str">
        <x:v>Lighting Retrofit Estimator provides a focused electrical trades workflow for electricians and facility teams.</x:v>
      </x:c>
      <x:c r="G752" s="18" t="str">
        <x:v>Calculator, Inspection, Inventory, Reports</x:v>
      </x:c>
      <x:c r="H752" s="17" t="str">
        <x:v>Paid + Pro</x:v>
      </x:c>
      <x:c r="I752" s="17" t="str">
        <x:v>Medium</x:v>
      </x:c>
      <x:c r="J752" s="17" t="str">
        <x:v>New candidate</x:v>
      </x:c>
      <x:c r="K752" s="17" t="str">
        <x:v>Unreviewed</x:v>
      </x:c>
      <x:c r="L752" s="17"/>
      <x:c r="M752" s="17"/>
      <x:c r="N752" s="17"/>
      <x:c r="O752" s="17"/>
      <x:c r="P752" s="17"/>
      <x:c r="Q752" s="17" t="str">
        <x:f>IF(COUNT(L752:P752)&lt;5,"",ROUND((L752*25+M752*20+N752*20+O752*20+P752*15)/5,1))</x:f>
      </x:c>
      <x:c r="R752" s="18" t="str"/>
      <x:c r="S752" s="18" t="str"/>
      <x:c r="T752" s="17" t="str"/>
      <x:c r="U752" s="19"/>
    </x:row>
    <x:row r="753">
      <x:c r="A753" s="17" t="str">
        <x:v>MTS-0752</x:v>
      </x:c>
      <x:c r="B753" s="17" t="str">
        <x:v>Generator Transfer Checklist</x:v>
      </x:c>
      <x:c r="C753" s="17" t="str">
        <x:v>Electrical Trades</x:v>
      </x:c>
      <x:c r="D753" s="17" t="str">
        <x:v>Mobile App</x:v>
      </x:c>
      <x:c r="E753" s="17" t="str">
        <x:v>Electricians and facility teams</x:v>
      </x:c>
      <x:c r="F753" s="18" t="str">
        <x:v>Generator Transfer Checklist provides a focused electrical trades workflow for electricians and facility teams.</x:v>
      </x:c>
      <x:c r="G753" s="18" t="str">
        <x:v>Calculator, Inspection, Inventory, Reports</x:v>
      </x:c>
      <x:c r="H753" s="17" t="str">
        <x:v>Paid + Pro</x:v>
      </x:c>
      <x:c r="I753" s="17" t="str">
        <x:v>Medium</x:v>
      </x:c>
      <x:c r="J753" s="17" t="str">
        <x:v>New candidate</x:v>
      </x:c>
      <x:c r="K753" s="17" t="str">
        <x:v>Unreviewed</x:v>
      </x:c>
      <x:c r="L753" s="17"/>
      <x:c r="M753" s="17"/>
      <x:c r="N753" s="17"/>
      <x:c r="O753" s="17"/>
      <x:c r="P753" s="17"/>
      <x:c r="Q753" s="17" t="str">
        <x:f>IF(COUNT(L753:P753)&lt;5,"",ROUND((L753*25+M753*20+N753*20+O753*20+P753*15)/5,1))</x:f>
      </x:c>
      <x:c r="R753" s="18" t="str"/>
      <x:c r="S753" s="18" t="str"/>
      <x:c r="T753" s="17" t="str"/>
      <x:c r="U753" s="19"/>
    </x:row>
    <x:row r="754">
      <x:c r="A754" s="17" t="str">
        <x:v>MTS-0753</x:v>
      </x:c>
      <x:c r="B754" s="17" t="str">
        <x:v>Electrical Material List</x:v>
      </x:c>
      <x:c r="C754" s="17" t="str">
        <x:v>Electrical Trades</x:v>
      </x:c>
      <x:c r="D754" s="17" t="str">
        <x:v>Mobile App</x:v>
      </x:c>
      <x:c r="E754" s="17" t="str">
        <x:v>Electricians and facility teams</x:v>
      </x:c>
      <x:c r="F754" s="18" t="str">
        <x:v>Electrical Material List provides a focused electrical trades workflow for electricians and facility teams.</x:v>
      </x:c>
      <x:c r="G754" s="18" t="str">
        <x:v>Calculator, Inspection, Inventory, Reports</x:v>
      </x:c>
      <x:c r="H754" s="17" t="str">
        <x:v>Paid + Pro</x:v>
      </x:c>
      <x:c r="I754" s="17" t="str">
        <x:v>Medium</x:v>
      </x:c>
      <x:c r="J754" s="17" t="str">
        <x:v>New candidate</x:v>
      </x:c>
      <x:c r="K754" s="17" t="str">
        <x:v>Unreviewed</x:v>
      </x:c>
      <x:c r="L754" s="17"/>
      <x:c r="M754" s="17"/>
      <x:c r="N754" s="17"/>
      <x:c r="O754" s="17"/>
      <x:c r="P754" s="17"/>
      <x:c r="Q754" s="17" t="str">
        <x:f>IF(COUNT(L754:P754)&lt;5,"",ROUND((L754*25+M754*20+N754*20+O754*20+P754*15)/5,1))</x:f>
      </x:c>
      <x:c r="R754" s="18" t="str"/>
      <x:c r="S754" s="18" t="str"/>
      <x:c r="T754" s="17" t="str"/>
      <x:c r="U754" s="19"/>
    </x:row>
    <x:row r="755">
      <x:c r="A755" s="17" t="str">
        <x:v>MTS-0754</x:v>
      </x:c>
      <x:c r="B755" s="17" t="str">
        <x:v>Breaker Label Photo Vault</x:v>
      </x:c>
      <x:c r="C755" s="17" t="str">
        <x:v>Electrical Trades</x:v>
      </x:c>
      <x:c r="D755" s="17" t="str">
        <x:v>Mobile App</x:v>
      </x:c>
      <x:c r="E755" s="17" t="str">
        <x:v>Electricians and facility teams</x:v>
      </x:c>
      <x:c r="F755" s="18" t="str">
        <x:v>Breaker Label Photo Vault provides a focused electrical trades workflow for electricians and facility teams.</x:v>
      </x:c>
      <x:c r="G755" s="18" t="str">
        <x:v>Calculator, Inspection, Inventory, Reports</x:v>
      </x:c>
      <x:c r="H755" s="17" t="str">
        <x:v>Paid + Pro</x:v>
      </x:c>
      <x:c r="I755" s="17" t="str">
        <x:v>Medium</x:v>
      </x:c>
      <x:c r="J755" s="17" t="str">
        <x:v>New candidate</x:v>
      </x:c>
      <x:c r="K755" s="17" t="str">
        <x:v>Unreviewed</x:v>
      </x:c>
      <x:c r="L755" s="17"/>
      <x:c r="M755" s="17"/>
      <x:c r="N755" s="17"/>
      <x:c r="O755" s="17"/>
      <x:c r="P755" s="17"/>
      <x:c r="Q755" s="17" t="str">
        <x:f>IF(COUNT(L755:P755)&lt;5,"",ROUND((L755*25+M755*20+N755*20+O755*20+P755*15)/5,1))</x:f>
      </x:c>
      <x:c r="R755" s="18" t="str"/>
      <x:c r="S755" s="18" t="str"/>
      <x:c r="T755" s="17" t="str"/>
      <x:c r="U755" s="19"/>
    </x:row>
    <x:row r="756">
      <x:c r="A756" s="17" t="str">
        <x:v>MTS-0755</x:v>
      </x:c>
      <x:c r="B756" s="17" t="str">
        <x:v>Extension Cord Inspection</x:v>
      </x:c>
      <x:c r="C756" s="17" t="str">
        <x:v>Electrical Trades</x:v>
      </x:c>
      <x:c r="D756" s="17" t="str">
        <x:v>Mobile App</x:v>
      </x:c>
      <x:c r="E756" s="17" t="str">
        <x:v>Electricians and facility teams</x:v>
      </x:c>
      <x:c r="F756" s="18" t="str">
        <x:v>Extension Cord Inspection provides a focused electrical trades workflow for electricians and facility teams.</x:v>
      </x:c>
      <x:c r="G756" s="18" t="str">
        <x:v>Calculator, Inspection, Inventory, Reports</x:v>
      </x:c>
      <x:c r="H756" s="17" t="str">
        <x:v>Paid + Pro</x:v>
      </x:c>
      <x:c r="I756" s="17" t="str">
        <x:v>Medium</x:v>
      </x:c>
      <x:c r="J756" s="17" t="str">
        <x:v>New candidate</x:v>
      </x:c>
      <x:c r="K756" s="17" t="str">
        <x:v>Unreviewed</x:v>
      </x:c>
      <x:c r="L756" s="17"/>
      <x:c r="M756" s="17"/>
      <x:c r="N756" s="17"/>
      <x:c r="O756" s="17"/>
      <x:c r="P756" s="17"/>
      <x:c r="Q756" s="17" t="str">
        <x:f>IF(COUNT(L756:P756)&lt;5,"",ROUND((L756*25+M756*20+N756*20+O756*20+P756*15)/5,1))</x:f>
      </x:c>
      <x:c r="R756" s="18" t="str"/>
      <x:c r="S756" s="18" t="str"/>
      <x:c r="T756" s="17" t="str"/>
      <x:c r="U756" s="19"/>
    </x:row>
    <x:row r="757">
      <x:c r="A757" s="17" t="str">
        <x:v>MTS-0756</x:v>
      </x:c>
      <x:c r="B757" s="17" t="str">
        <x:v>Service Call Electrical Report</x:v>
      </x:c>
      <x:c r="C757" s="17" t="str">
        <x:v>Electrical Trades</x:v>
      </x:c>
      <x:c r="D757" s="17" t="str">
        <x:v>Mobile App</x:v>
      </x:c>
      <x:c r="E757" s="17" t="str">
        <x:v>Electricians and facility teams</x:v>
      </x:c>
      <x:c r="F757" s="18" t="str">
        <x:v>Service Call Electrical Report provides a focused electrical trades workflow for electricians and facility teams.</x:v>
      </x:c>
      <x:c r="G757" s="18" t="str">
        <x:v>Calculator, Inspection, Inventory, Reports</x:v>
      </x:c>
      <x:c r="H757" s="17" t="str">
        <x:v>Paid + Pro</x:v>
      </x:c>
      <x:c r="I757" s="17" t="str">
        <x:v>Medium</x:v>
      </x:c>
      <x:c r="J757" s="17" t="str">
        <x:v>New candidate</x:v>
      </x:c>
      <x:c r="K757" s="17" t="str">
        <x:v>Unreviewed</x:v>
      </x:c>
      <x:c r="L757" s="17"/>
      <x:c r="M757" s="17"/>
      <x:c r="N757" s="17"/>
      <x:c r="O757" s="17"/>
      <x:c r="P757" s="17"/>
      <x:c r="Q757" s="17" t="str">
        <x:f>IF(COUNT(L757:P757)&lt;5,"",ROUND((L757*25+M757*20+N757*20+O757*20+P757*15)/5,1))</x:f>
      </x:c>
      <x:c r="R757" s="18" t="str"/>
      <x:c r="S757" s="18" t="str"/>
      <x:c r="T757" s="17" t="str"/>
      <x:c r="U757" s="19"/>
    </x:row>
    <x:row r="758">
      <x:c r="A758" s="17" t="str">
        <x:v>MTS-0757</x:v>
      </x:c>
      <x:c r="B758" s="17" t="str">
        <x:v>Pipe Volume Calculator</x:v>
      </x:c>
      <x:c r="C758" s="17" t="str">
        <x:v>Plumbing Trades</x:v>
      </x:c>
      <x:c r="D758" s="17" t="str">
        <x:v>Mobile App</x:v>
      </x:c>
      <x:c r="E758" s="17" t="str">
        <x:v>Plumbers and facility teams</x:v>
      </x:c>
      <x:c r="F758" s="18" t="str">
        <x:v>Pipe Volume Calculator provides a focused plumbing trades workflow for plumbers and facility teams.</x:v>
      </x:c>
      <x:c r="G758" s="18" t="str">
        <x:v>Calculator, Inspection, Camera, Reports</x:v>
      </x:c>
      <x:c r="H758" s="17" t="str">
        <x:v>Paid + Pro</x:v>
      </x:c>
      <x:c r="I758" s="17" t="str">
        <x:v>Medium</x:v>
      </x:c>
      <x:c r="J758" s="17" t="str">
        <x:v>New candidate</x:v>
      </x:c>
      <x:c r="K758" s="17" t="str">
        <x:v>Unreviewed</x:v>
      </x:c>
      <x:c r="L758" s="17"/>
      <x:c r="M758" s="17"/>
      <x:c r="N758" s="17"/>
      <x:c r="O758" s="17"/>
      <x:c r="P758" s="17"/>
      <x:c r="Q758" s="17" t="str">
        <x:f>IF(COUNT(L758:P758)&lt;5,"",ROUND((L758*25+M758*20+N758*20+O758*20+P758*15)/5,1))</x:f>
      </x:c>
      <x:c r="R758" s="18" t="str"/>
      <x:c r="S758" s="18" t="str"/>
      <x:c r="T758" s="17" t="str"/>
      <x:c r="U758" s="19"/>
    </x:row>
    <x:row r="759">
      <x:c r="A759" s="17" t="str">
        <x:v>MTS-0758</x:v>
      </x:c>
      <x:c r="B759" s="17" t="str">
        <x:v>Water Pressure Log</x:v>
      </x:c>
      <x:c r="C759" s="17" t="str">
        <x:v>Plumbing Trades</x:v>
      </x:c>
      <x:c r="D759" s="17" t="str">
        <x:v>Mobile App</x:v>
      </x:c>
      <x:c r="E759" s="17" t="str">
        <x:v>Plumbers and facility teams</x:v>
      </x:c>
      <x:c r="F759" s="18" t="str">
        <x:v>Water Pressure Log provides a focused plumbing trades workflow for plumbers and facility teams.</x:v>
      </x:c>
      <x:c r="G759" s="18" t="str">
        <x:v>Calculator, Inspection, Camera, Reports</x:v>
      </x:c>
      <x:c r="H759" s="17" t="str">
        <x:v>Paid + Pro</x:v>
      </x:c>
      <x:c r="I759" s="17" t="str">
        <x:v>Medium</x:v>
      </x:c>
      <x:c r="J759" s="17" t="str">
        <x:v>New candidate</x:v>
      </x:c>
      <x:c r="K759" s="17" t="str">
        <x:v>Unreviewed</x:v>
      </x:c>
      <x:c r="L759" s="17"/>
      <x:c r="M759" s="17"/>
      <x:c r="N759" s="17"/>
      <x:c r="O759" s="17"/>
      <x:c r="P759" s="17"/>
      <x:c r="Q759" s="17" t="str">
        <x:f>IF(COUNT(L759:P759)&lt;5,"",ROUND((L759*25+M759*20+N759*20+O759*20+P759*15)/5,1))</x:f>
      </x:c>
      <x:c r="R759" s="18" t="str"/>
      <x:c r="S759" s="18" t="str"/>
      <x:c r="T759" s="17" t="str"/>
      <x:c r="U759" s="19"/>
    </x:row>
    <x:row r="760">
      <x:c r="A760" s="17" t="str">
        <x:v>MTS-0759</x:v>
      </x:c>
      <x:c r="B760" s="17" t="str">
        <x:v>Fixture Count Estimator</x:v>
      </x:c>
      <x:c r="C760" s="17" t="str">
        <x:v>Plumbing Trades</x:v>
      </x:c>
      <x:c r="D760" s="17" t="str">
        <x:v>Mobile App</x:v>
      </x:c>
      <x:c r="E760" s="17" t="str">
        <x:v>Plumbers and facility teams</x:v>
      </x:c>
      <x:c r="F760" s="18" t="str">
        <x:v>Fixture Count Estimator provides a focused plumbing trades workflow for plumbers and facility teams.</x:v>
      </x:c>
      <x:c r="G760" s="18" t="str">
        <x:v>Calculator, Inspection, Camera, Reports</x:v>
      </x:c>
      <x:c r="H760" s="17" t="str">
        <x:v>Paid + Pro</x:v>
      </x:c>
      <x:c r="I760" s="17" t="str">
        <x:v>Medium</x:v>
      </x:c>
      <x:c r="J760" s="17" t="str">
        <x:v>New candidate</x:v>
      </x:c>
      <x:c r="K760" s="17" t="str">
        <x:v>Unreviewed</x:v>
      </x:c>
      <x:c r="L760" s="17"/>
      <x:c r="M760" s="17"/>
      <x:c r="N760" s="17"/>
      <x:c r="O760" s="17"/>
      <x:c r="P760" s="17"/>
      <x:c r="Q760" s="17" t="str">
        <x:f>IF(COUNT(L760:P760)&lt;5,"",ROUND((L760*25+M760*20+N760*20+O760*20+P760*15)/5,1))</x:f>
      </x:c>
      <x:c r="R760" s="18" t="str"/>
      <x:c r="S760" s="18" t="str"/>
      <x:c r="T760" s="17" t="str"/>
      <x:c r="U760" s="19"/>
    </x:row>
    <x:row r="761">
      <x:c r="A761" s="17" t="str">
        <x:v>MTS-0760</x:v>
      </x:c>
      <x:c r="B761" s="17" t="str">
        <x:v>Plumbing Service Reporter</x:v>
      </x:c>
      <x:c r="C761" s="17" t="str">
        <x:v>Plumbing Trades</x:v>
      </x:c>
      <x:c r="D761" s="17" t="str">
        <x:v>Mobile App</x:v>
      </x:c>
      <x:c r="E761" s="17" t="str">
        <x:v>Plumbers and facility teams</x:v>
      </x:c>
      <x:c r="F761" s="18" t="str">
        <x:v>Plumbing Service Reporter provides a focused plumbing trades workflow for plumbers and facility teams.</x:v>
      </x:c>
      <x:c r="G761" s="18" t="str">
        <x:v>Calculator, Inspection, Camera, Reports</x:v>
      </x:c>
      <x:c r="H761" s="17" t="str">
        <x:v>Paid + Pro</x:v>
      </x:c>
      <x:c r="I761" s="17" t="str">
        <x:v>Medium</x:v>
      </x:c>
      <x:c r="J761" s="17" t="str">
        <x:v>New candidate</x:v>
      </x:c>
      <x:c r="K761" s="17" t="str">
        <x:v>Unreviewed</x:v>
      </x:c>
      <x:c r="L761" s="17"/>
      <x:c r="M761" s="17"/>
      <x:c r="N761" s="17"/>
      <x:c r="O761" s="17"/>
      <x:c r="P761" s="17"/>
      <x:c r="Q761" s="17" t="str">
        <x:f>IF(COUNT(L761:P761)&lt;5,"",ROUND((L761*25+M761*20+N761*20+O761*20+P761*15)/5,1))</x:f>
      </x:c>
      <x:c r="R761" s="18" t="str"/>
      <x:c r="S761" s="18" t="str"/>
      <x:c r="T761" s="17" t="str"/>
      <x:c r="U761" s="19"/>
    </x:row>
    <x:row r="762">
      <x:c r="A762" s="17" t="str">
        <x:v>MTS-0761</x:v>
      </x:c>
      <x:c r="B762" s="17" t="str">
        <x:v>Leak Evidence Tracker</x:v>
      </x:c>
      <x:c r="C762" s="17" t="str">
        <x:v>Plumbing Trades</x:v>
      </x:c>
      <x:c r="D762" s="17" t="str">
        <x:v>Mobile App</x:v>
      </x:c>
      <x:c r="E762" s="17" t="str">
        <x:v>Plumbers and facility teams</x:v>
      </x:c>
      <x:c r="F762" s="18" t="str">
        <x:v>Leak Evidence Tracker provides a focused plumbing trades workflow for plumbers and facility teams.</x:v>
      </x:c>
      <x:c r="G762" s="18" t="str">
        <x:v>Calculator, Inspection, Camera, Reports</x:v>
      </x:c>
      <x:c r="H762" s="17" t="str">
        <x:v>Paid + Pro</x:v>
      </x:c>
      <x:c r="I762" s="17" t="str">
        <x:v>Medium</x:v>
      </x:c>
      <x:c r="J762" s="17" t="str">
        <x:v>New candidate</x:v>
      </x:c>
      <x:c r="K762" s="17" t="str">
        <x:v>Unreviewed</x:v>
      </x:c>
      <x:c r="L762" s="17"/>
      <x:c r="M762" s="17"/>
      <x:c r="N762" s="17"/>
      <x:c r="O762" s="17"/>
      <x:c r="P762" s="17"/>
      <x:c r="Q762" s="17" t="str">
        <x:f>IF(COUNT(L762:P762)&lt;5,"",ROUND((L762*25+M762*20+N762*20+O762*20+P762*15)/5,1))</x:f>
      </x:c>
      <x:c r="R762" s="18" t="str"/>
      <x:c r="S762" s="18" t="str"/>
      <x:c r="T762" s="17" t="str"/>
      <x:c r="U762" s="19"/>
    </x:row>
    <x:row r="763">
      <x:c r="A763" s="17" t="str">
        <x:v>MTS-0762</x:v>
      </x:c>
      <x:c r="B763" s="17" t="str">
        <x:v>Water Heater Maintenance</x:v>
      </x:c>
      <x:c r="C763" s="17" t="str">
        <x:v>Plumbing Trades</x:v>
      </x:c>
      <x:c r="D763" s="17" t="str">
        <x:v>Mobile App</x:v>
      </x:c>
      <x:c r="E763" s="17" t="str">
        <x:v>Plumbers and facility teams</x:v>
      </x:c>
      <x:c r="F763" s="18" t="str">
        <x:v>Water Heater Maintenance provides a focused plumbing trades workflow for plumbers and facility teams.</x:v>
      </x:c>
      <x:c r="G763" s="18" t="str">
        <x:v>Calculator, Inspection, Camera, Reports</x:v>
      </x:c>
      <x:c r="H763" s="17" t="str">
        <x:v>Paid + Pro</x:v>
      </x:c>
      <x:c r="I763" s="17" t="str">
        <x:v>Medium</x:v>
      </x:c>
      <x:c r="J763" s="17" t="str">
        <x:v>New candidate</x:v>
      </x:c>
      <x:c r="K763" s="17" t="str">
        <x:v>Unreviewed</x:v>
      </x:c>
      <x:c r="L763" s="17"/>
      <x:c r="M763" s="17"/>
      <x:c r="N763" s="17"/>
      <x:c r="O763" s="17"/>
      <x:c r="P763" s="17"/>
      <x:c r="Q763" s="17" t="str">
        <x:f>IF(COUNT(L763:P763)&lt;5,"",ROUND((L763*25+M763*20+N763*20+O763*20+P763*15)/5,1))</x:f>
      </x:c>
      <x:c r="R763" s="18" t="str"/>
      <x:c r="S763" s="18" t="str"/>
      <x:c r="T763" s="17" t="str"/>
      <x:c r="U763" s="19"/>
    </x:row>
    <x:row r="764">
      <x:c r="A764" s="17" t="str">
        <x:v>MTS-0763</x:v>
      </x:c>
      <x:c r="B764" s="17" t="str">
        <x:v>Drain Inspection Notes</x:v>
      </x:c>
      <x:c r="C764" s="17" t="str">
        <x:v>Plumbing Trades</x:v>
      </x:c>
      <x:c r="D764" s="17" t="str">
        <x:v>Mobile App</x:v>
      </x:c>
      <x:c r="E764" s="17" t="str">
        <x:v>Plumbers and facility teams</x:v>
      </x:c>
      <x:c r="F764" s="18" t="str">
        <x:v>Drain Inspection Notes provides a focused plumbing trades workflow for plumbers and facility teams.</x:v>
      </x:c>
      <x:c r="G764" s="18" t="str">
        <x:v>Calculator, Inspection, Camera, Reports</x:v>
      </x:c>
      <x:c r="H764" s="17" t="str">
        <x:v>Paid + Pro</x:v>
      </x:c>
      <x:c r="I764" s="17" t="str">
        <x:v>Medium</x:v>
      </x:c>
      <x:c r="J764" s="17" t="str">
        <x:v>New candidate</x:v>
      </x:c>
      <x:c r="K764" s="17" t="str">
        <x:v>Unreviewed</x:v>
      </x:c>
      <x:c r="L764" s="17"/>
      <x:c r="M764" s="17"/>
      <x:c r="N764" s="17"/>
      <x:c r="O764" s="17"/>
      <x:c r="P764" s="17"/>
      <x:c r="Q764" s="17" t="str">
        <x:f>IF(COUNT(L764:P764)&lt;5,"",ROUND((L764*25+M764*20+N764*20+O764*20+P764*15)/5,1))</x:f>
      </x:c>
      <x:c r="R764" s="18" t="str"/>
      <x:c r="S764" s="18" t="str"/>
      <x:c r="T764" s="17" t="str"/>
      <x:c r="U764" s="19"/>
    </x:row>
    <x:row r="765">
      <x:c r="A765" s="17" t="str">
        <x:v>MTS-0764</x:v>
      </x:c>
      <x:c r="B765" s="17" t="str">
        <x:v>Pipe Material Inventory</x:v>
      </x:c>
      <x:c r="C765" s="17" t="str">
        <x:v>Plumbing Trades</x:v>
      </x:c>
      <x:c r="D765" s="17" t="str">
        <x:v>Mobile App</x:v>
      </x:c>
      <x:c r="E765" s="17" t="str">
        <x:v>Plumbers and facility teams</x:v>
      </x:c>
      <x:c r="F765" s="18" t="str">
        <x:v>Pipe Material Inventory provides a focused plumbing trades workflow for plumbers and facility teams.</x:v>
      </x:c>
      <x:c r="G765" s="18" t="str">
        <x:v>Calculator, Inspection, Camera, Reports</x:v>
      </x:c>
      <x:c r="H765" s="17" t="str">
        <x:v>Paid + Pro</x:v>
      </x:c>
      <x:c r="I765" s="17" t="str">
        <x:v>Medium</x:v>
      </x:c>
      <x:c r="J765" s="17" t="str">
        <x:v>New candidate</x:v>
      </x:c>
      <x:c r="K765" s="17" t="str">
        <x:v>Unreviewed</x:v>
      </x:c>
      <x:c r="L765" s="17"/>
      <x:c r="M765" s="17"/>
      <x:c r="N765" s="17"/>
      <x:c r="O765" s="17"/>
      <x:c r="P765" s="17"/>
      <x:c r="Q765" s="17" t="str">
        <x:f>IF(COUNT(L765:P765)&lt;5,"",ROUND((L765*25+M765*20+N765*20+O765*20+P765*15)/5,1))</x:f>
      </x:c>
      <x:c r="R765" s="18" t="str"/>
      <x:c r="S765" s="18" t="str"/>
      <x:c r="T765" s="17" t="str"/>
      <x:c r="U765" s="19"/>
    </x:row>
    <x:row r="766">
      <x:c r="A766" s="17" t="str">
        <x:v>MTS-0765</x:v>
      </x:c>
      <x:c r="B766" s="17" t="str">
        <x:v>Plumbing Rough-In Checklist</x:v>
      </x:c>
      <x:c r="C766" s="17" t="str">
        <x:v>Plumbing Trades</x:v>
      </x:c>
      <x:c r="D766" s="17" t="str">
        <x:v>Mobile App</x:v>
      </x:c>
      <x:c r="E766" s="17" t="str">
        <x:v>Plumbers and facility teams</x:v>
      </x:c>
      <x:c r="F766" s="18" t="str">
        <x:v>Plumbing Rough-In Checklist provides a focused plumbing trades workflow for plumbers and facility teams.</x:v>
      </x:c>
      <x:c r="G766" s="18" t="str">
        <x:v>Calculator, Inspection, Camera, Reports</x:v>
      </x:c>
      <x:c r="H766" s="17" t="str">
        <x:v>Paid + Pro</x:v>
      </x:c>
      <x:c r="I766" s="17" t="str">
        <x:v>Medium</x:v>
      </x:c>
      <x:c r="J766" s="17" t="str">
        <x:v>New candidate</x:v>
      </x:c>
      <x:c r="K766" s="17" t="str">
        <x:v>Unreviewed</x:v>
      </x:c>
      <x:c r="L766" s="17"/>
      <x:c r="M766" s="17"/>
      <x:c r="N766" s="17"/>
      <x:c r="O766" s="17"/>
      <x:c r="P766" s="17"/>
      <x:c r="Q766" s="17" t="str">
        <x:f>IF(COUNT(L766:P766)&lt;5,"",ROUND((L766*25+M766*20+N766*20+O766*20+P766*15)/5,1))</x:f>
      </x:c>
      <x:c r="R766" s="18" t="str"/>
      <x:c r="S766" s="18" t="str"/>
      <x:c r="T766" s="17" t="str"/>
      <x:c r="U766" s="19"/>
    </x:row>
    <x:row r="767">
      <x:c r="A767" s="17" t="str">
        <x:v>MTS-0766</x:v>
      </x:c>
      <x:c r="B767" s="17" t="str">
        <x:v>Septic Observation Log</x:v>
      </x:c>
      <x:c r="C767" s="17" t="str">
        <x:v>Plumbing Trades</x:v>
      </x:c>
      <x:c r="D767" s="17" t="str">
        <x:v>Mobile App</x:v>
      </x:c>
      <x:c r="E767" s="17" t="str">
        <x:v>Plumbers and facility teams</x:v>
      </x:c>
      <x:c r="F767" s="18" t="str">
        <x:v>Septic Observation Log provides a focused plumbing trades workflow for plumbers and facility teams.</x:v>
      </x:c>
      <x:c r="G767" s="18" t="str">
        <x:v>Calculator, Inspection, Camera, Reports</x:v>
      </x:c>
      <x:c r="H767" s="17" t="str">
        <x:v>Paid + Pro</x:v>
      </x:c>
      <x:c r="I767" s="17" t="str">
        <x:v>Medium</x:v>
      </x:c>
      <x:c r="J767" s="17" t="str">
        <x:v>New candidate</x:v>
      </x:c>
      <x:c r="K767" s="17" t="str">
        <x:v>Unreviewed</x:v>
      </x:c>
      <x:c r="L767" s="17"/>
      <x:c r="M767" s="17"/>
      <x:c r="N767" s="17"/>
      <x:c r="O767" s="17"/>
      <x:c r="P767" s="17"/>
      <x:c r="Q767" s="17" t="str">
        <x:f>IF(COUNT(L767:P767)&lt;5,"",ROUND((L767*25+M767*20+N767*20+O767*20+P767*15)/5,1))</x:f>
      </x:c>
      <x:c r="R767" s="18" t="str"/>
      <x:c r="S767" s="18" t="str"/>
      <x:c r="T767" s="17" t="str"/>
      <x:c r="U767" s="19"/>
    </x:row>
    <x:row r="768">
      <x:c r="A768" s="17" t="str">
        <x:v>MTS-0767</x:v>
      </x:c>
      <x:c r="B768" s="17" t="str">
        <x:v>Backflow Test Organizer</x:v>
      </x:c>
      <x:c r="C768" s="17" t="str">
        <x:v>Plumbing Trades</x:v>
      </x:c>
      <x:c r="D768" s="17" t="str">
        <x:v>Mobile App</x:v>
      </x:c>
      <x:c r="E768" s="17" t="str">
        <x:v>Plumbers and facility teams</x:v>
      </x:c>
      <x:c r="F768" s="18" t="str">
        <x:v>Backflow Test Organizer provides a focused plumbing trades workflow for plumbers and facility teams.</x:v>
      </x:c>
      <x:c r="G768" s="18" t="str">
        <x:v>Calculator, Inspection, Camera, Reports</x:v>
      </x:c>
      <x:c r="H768" s="17" t="str">
        <x:v>Paid + Pro</x:v>
      </x:c>
      <x:c r="I768" s="17" t="str">
        <x:v>Medium</x:v>
      </x:c>
      <x:c r="J768" s="17" t="str">
        <x:v>New candidate</x:v>
      </x:c>
      <x:c r="K768" s="17" t="str">
        <x:v>Unreviewed</x:v>
      </x:c>
      <x:c r="L768" s="17"/>
      <x:c r="M768" s="17"/>
      <x:c r="N768" s="17"/>
      <x:c r="O768" s="17"/>
      <x:c r="P768" s="17"/>
      <x:c r="Q768" s="17" t="str">
        <x:f>IF(COUNT(L768:P768)&lt;5,"",ROUND((L768*25+M768*20+N768*20+O768*20+P768*15)/5,1))</x:f>
      </x:c>
      <x:c r="R768" s="18" t="str"/>
      <x:c r="S768" s="18" t="str"/>
      <x:c r="T768" s="17" t="str"/>
      <x:c r="U768" s="19"/>
    </x:row>
    <x:row r="769">
      <x:c r="A769" s="17" t="str">
        <x:v>MTS-0768</x:v>
      </x:c>
      <x:c r="B769" s="17" t="str">
        <x:v>Plumbing Quote Builder</x:v>
      </x:c>
      <x:c r="C769" s="17" t="str">
        <x:v>Plumbing Trades</x:v>
      </x:c>
      <x:c r="D769" s="17" t="str">
        <x:v>Mobile App</x:v>
      </x:c>
      <x:c r="E769" s="17" t="str">
        <x:v>Plumbers and facility teams</x:v>
      </x:c>
      <x:c r="F769" s="18" t="str">
        <x:v>Plumbing Quote Builder provides a focused plumbing trades workflow for plumbers and facility teams.</x:v>
      </x:c>
      <x:c r="G769" s="18" t="str">
        <x:v>Calculator, Inspection, Camera, Reports</x:v>
      </x:c>
      <x:c r="H769" s="17" t="str">
        <x:v>Paid + Pro</x:v>
      </x:c>
      <x:c r="I769" s="17" t="str">
        <x:v>Medium</x:v>
      </x:c>
      <x:c r="J769" s="17" t="str">
        <x:v>New candidate</x:v>
      </x:c>
      <x:c r="K769" s="17" t="str">
        <x:v>Unreviewed</x:v>
      </x:c>
      <x:c r="L769" s="17"/>
      <x:c r="M769" s="17"/>
      <x:c r="N769" s="17"/>
      <x:c r="O769" s="17"/>
      <x:c r="P769" s="17"/>
      <x:c r="Q769" s="17" t="str">
        <x:f>IF(COUNT(L769:P769)&lt;5,"",ROUND((L769*25+M769*20+N769*20+O769*20+P769*15)/5,1))</x:f>
      </x:c>
      <x:c r="R769" s="18" t="str"/>
      <x:c r="S769" s="18" t="str"/>
      <x:c r="T769" s="17" t="str"/>
      <x:c r="U769" s="19"/>
    </x:row>
    <x:row r="770">
      <x:c r="A770" s="17" t="str">
        <x:v>MTS-0769</x:v>
      </x:c>
      <x:c r="B770" s="17" t="str">
        <x:v>HVAC Service Checklist</x:v>
      </x:c>
      <x:c r="C770" s="17" t="str">
        <x:v>HVAC Trades</x:v>
      </x:c>
      <x:c r="D770" s="17" t="str">
        <x:v>Mobile App</x:v>
      </x:c>
      <x:c r="E770" s="17" t="str">
        <x:v>HVAC technicians</x:v>
      </x:c>
      <x:c r="F770" s="18" t="str">
        <x:v>HVAC Service Checklist provides a focused hvac trades workflow for hvac technicians.</x:v>
      </x:c>
      <x:c r="G770" s="18" t="str">
        <x:v>Calculator, Maintenance, Inspection, Reports</x:v>
      </x:c>
      <x:c r="H770" s="17" t="str">
        <x:v>Paid + Pro</x:v>
      </x:c>
      <x:c r="I770" s="17" t="str">
        <x:v>Medium</x:v>
      </x:c>
      <x:c r="J770" s="17" t="str">
        <x:v>New candidate</x:v>
      </x:c>
      <x:c r="K770" s="17" t="str">
        <x:v>Unreviewed</x:v>
      </x:c>
      <x:c r="L770" s="17"/>
      <x:c r="M770" s="17"/>
      <x:c r="N770" s="17"/>
      <x:c r="O770" s="17"/>
      <x:c r="P770" s="17"/>
      <x:c r="Q770" s="17" t="str">
        <x:f>IF(COUNT(L770:P770)&lt;5,"",ROUND((L770*25+M770*20+N770*20+O770*20+P770*15)/5,1))</x:f>
      </x:c>
      <x:c r="R770" s="18" t="str"/>
      <x:c r="S770" s="18" t="str"/>
      <x:c r="T770" s="17" t="str"/>
      <x:c r="U770" s="19"/>
    </x:row>
    <x:row r="771">
      <x:c r="A771" s="17" t="str">
        <x:v>MTS-0770</x:v>
      </x:c>
      <x:c r="B771" s="17" t="str">
        <x:v>Filter Size Inventory</x:v>
      </x:c>
      <x:c r="C771" s="17" t="str">
        <x:v>HVAC Trades</x:v>
      </x:c>
      <x:c r="D771" s="17" t="str">
        <x:v>Mobile App</x:v>
      </x:c>
      <x:c r="E771" s="17" t="str">
        <x:v>HVAC technicians</x:v>
      </x:c>
      <x:c r="F771" s="18" t="str">
        <x:v>Filter Size Inventory provides a focused hvac trades workflow for hvac technicians.</x:v>
      </x:c>
      <x:c r="G771" s="18" t="str">
        <x:v>Calculator, Maintenance, Inspection, Reports</x:v>
      </x:c>
      <x:c r="H771" s="17" t="str">
        <x:v>Paid + Pro</x:v>
      </x:c>
      <x:c r="I771" s="17" t="str">
        <x:v>Medium</x:v>
      </x:c>
      <x:c r="J771" s="17" t="str">
        <x:v>New candidate</x:v>
      </x:c>
      <x:c r="K771" s="17" t="str">
        <x:v>Unreviewed</x:v>
      </x:c>
      <x:c r="L771" s="17"/>
      <x:c r="M771" s="17"/>
      <x:c r="N771" s="17"/>
      <x:c r="O771" s="17"/>
      <x:c r="P771" s="17"/>
      <x:c r="Q771" s="17" t="str">
        <x:f>IF(COUNT(L771:P771)&lt;5,"",ROUND((L771*25+M771*20+N771*20+O771*20+P771*15)/5,1))</x:f>
      </x:c>
      <x:c r="R771" s="18" t="str"/>
      <x:c r="S771" s="18" t="str"/>
      <x:c r="T771" s="17" t="str"/>
      <x:c r="U771" s="19"/>
    </x:row>
    <x:row r="772">
      <x:c r="A772" s="17" t="str">
        <x:v>MTS-0771</x:v>
      </x:c>
      <x:c r="B772" s="17" t="str">
        <x:v>Room Load Estimator</x:v>
      </x:c>
      <x:c r="C772" s="17" t="str">
        <x:v>HVAC Trades</x:v>
      </x:c>
      <x:c r="D772" s="17" t="str">
        <x:v>Mobile App</x:v>
      </x:c>
      <x:c r="E772" s="17" t="str">
        <x:v>HVAC technicians</x:v>
      </x:c>
      <x:c r="F772" s="18" t="str">
        <x:v>Room Load Estimator provides a focused hvac trades workflow for hvac technicians.</x:v>
      </x:c>
      <x:c r="G772" s="18" t="str">
        <x:v>Calculator, Maintenance, Inspection, Reports</x:v>
      </x:c>
      <x:c r="H772" s="17" t="str">
        <x:v>Paid + Pro</x:v>
      </x:c>
      <x:c r="I772" s="17" t="str">
        <x:v>Medium</x:v>
      </x:c>
      <x:c r="J772" s="17" t="str">
        <x:v>New candidate</x:v>
      </x:c>
      <x:c r="K772" s="17" t="str">
        <x:v>Unreviewed</x:v>
      </x:c>
      <x:c r="L772" s="17"/>
      <x:c r="M772" s="17"/>
      <x:c r="N772" s="17"/>
      <x:c r="O772" s="17"/>
      <x:c r="P772" s="17"/>
      <x:c r="Q772" s="17" t="str">
        <x:f>IF(COUNT(L772:P772)&lt;5,"",ROUND((L772*25+M772*20+N772*20+O772*20+P772*15)/5,1))</x:f>
      </x:c>
      <x:c r="R772" s="18" t="str"/>
      <x:c r="S772" s="18" t="str"/>
      <x:c r="T772" s="17" t="str"/>
      <x:c r="U772" s="19"/>
    </x:row>
    <x:row r="773">
      <x:c r="A773" s="17" t="str">
        <x:v>MTS-0772</x:v>
      </x:c>
      <x:c r="B773" s="17" t="str">
        <x:v>Refrigerant Service Log</x:v>
      </x:c>
      <x:c r="C773" s="17" t="str">
        <x:v>HVAC Trades</x:v>
      </x:c>
      <x:c r="D773" s="17" t="str">
        <x:v>Mobile App</x:v>
      </x:c>
      <x:c r="E773" s="17" t="str">
        <x:v>HVAC technicians</x:v>
      </x:c>
      <x:c r="F773" s="18" t="str">
        <x:v>Refrigerant Service Log provides a focused hvac trades workflow for hvac technicians.</x:v>
      </x:c>
      <x:c r="G773" s="18" t="str">
        <x:v>Calculator, Maintenance, Inspection, Reports</x:v>
      </x:c>
      <x:c r="H773" s="17" t="str">
        <x:v>Paid + Pro</x:v>
      </x:c>
      <x:c r="I773" s="17" t="str">
        <x:v>Medium</x:v>
      </x:c>
      <x:c r="J773" s="17" t="str">
        <x:v>New candidate</x:v>
      </x:c>
      <x:c r="K773" s="17" t="str">
        <x:v>Unreviewed</x:v>
      </x:c>
      <x:c r="L773" s="17"/>
      <x:c r="M773" s="17"/>
      <x:c r="N773" s="17"/>
      <x:c r="O773" s="17"/>
      <x:c r="P773" s="17"/>
      <x:c r="Q773" s="17" t="str">
        <x:f>IF(COUNT(L773:P773)&lt;5,"",ROUND((L773*25+M773*20+N773*20+O773*20+P773*15)/5,1))</x:f>
      </x:c>
      <x:c r="R773" s="18" t="str"/>
      <x:c r="S773" s="18" t="str"/>
      <x:c r="T773" s="17" t="str"/>
      <x:c r="U773" s="19"/>
    </x:row>
    <x:row r="774">
      <x:c r="A774" s="17" t="str">
        <x:v>MTS-0773</x:v>
      </x:c>
      <x:c r="B774" s="17" t="str">
        <x:v>Equipment Model Vault</x:v>
      </x:c>
      <x:c r="C774" s="17" t="str">
        <x:v>HVAC Trades</x:v>
      </x:c>
      <x:c r="D774" s="17" t="str">
        <x:v>Mobile App</x:v>
      </x:c>
      <x:c r="E774" s="17" t="str">
        <x:v>HVAC technicians</x:v>
      </x:c>
      <x:c r="F774" s="18" t="str">
        <x:v>Equipment Model Vault provides a focused hvac trades workflow for hvac technicians.</x:v>
      </x:c>
      <x:c r="G774" s="18" t="str">
        <x:v>Calculator, Maintenance, Inspection, Reports</x:v>
      </x:c>
      <x:c r="H774" s="17" t="str">
        <x:v>Paid + Pro</x:v>
      </x:c>
      <x:c r="I774" s="17" t="str">
        <x:v>Medium</x:v>
      </x:c>
      <x:c r="J774" s="17" t="str">
        <x:v>New candidate</x:v>
      </x:c>
      <x:c r="K774" s="17" t="str">
        <x:v>Unreviewed</x:v>
      </x:c>
      <x:c r="L774" s="17"/>
      <x:c r="M774" s="17"/>
      <x:c r="N774" s="17"/>
      <x:c r="O774" s="17"/>
      <x:c r="P774" s="17"/>
      <x:c r="Q774" s="17" t="str">
        <x:f>IF(COUNT(L774:P774)&lt;5,"",ROUND((L774*25+M774*20+N774*20+O774*20+P774*15)/5,1))</x:f>
      </x:c>
      <x:c r="R774" s="18" t="str"/>
      <x:c r="S774" s="18" t="str"/>
      <x:c r="T774" s="17" t="str"/>
      <x:c r="U774" s="19"/>
    </x:row>
    <x:row r="775">
      <x:c r="A775" s="17" t="str">
        <x:v>MTS-0774</x:v>
      </x:c>
      <x:c r="B775" s="17" t="str">
        <x:v>Duct Inspection Reporter</x:v>
      </x:c>
      <x:c r="C775" s="17" t="str">
        <x:v>HVAC Trades</x:v>
      </x:c>
      <x:c r="D775" s="17" t="str">
        <x:v>Mobile App</x:v>
      </x:c>
      <x:c r="E775" s="17" t="str">
        <x:v>HVAC technicians</x:v>
      </x:c>
      <x:c r="F775" s="18" t="str">
        <x:v>Duct Inspection Reporter provides a focused hvac trades workflow for hvac technicians.</x:v>
      </x:c>
      <x:c r="G775" s="18" t="str">
        <x:v>Calculator, Maintenance, Inspection, Reports</x:v>
      </x:c>
      <x:c r="H775" s="17" t="str">
        <x:v>Paid + Pro</x:v>
      </x:c>
      <x:c r="I775" s="17" t="str">
        <x:v>Medium</x:v>
      </x:c>
      <x:c r="J775" s="17" t="str">
        <x:v>New candidate</x:v>
      </x:c>
      <x:c r="K775" s="17" t="str">
        <x:v>Unreviewed</x:v>
      </x:c>
      <x:c r="L775" s="17"/>
      <x:c r="M775" s="17"/>
      <x:c r="N775" s="17"/>
      <x:c r="O775" s="17"/>
      <x:c r="P775" s="17"/>
      <x:c r="Q775" s="17" t="str">
        <x:f>IF(COUNT(L775:P775)&lt;5,"",ROUND((L775*25+M775*20+N775*20+O775*20+P775*15)/5,1))</x:f>
      </x:c>
      <x:c r="R775" s="18" t="str"/>
      <x:c r="S775" s="18" t="str"/>
      <x:c r="T775" s="17" t="str"/>
      <x:c r="U775" s="19"/>
    </x:row>
    <x:row r="776">
      <x:c r="A776" s="17" t="str">
        <x:v>MTS-0775</x:v>
      </x:c>
      <x:c r="B776" s="17" t="str">
        <x:v>Thermostat Setup Checklist</x:v>
      </x:c>
      <x:c r="C776" s="17" t="str">
        <x:v>HVAC Trades</x:v>
      </x:c>
      <x:c r="D776" s="17" t="str">
        <x:v>Mobile App</x:v>
      </x:c>
      <x:c r="E776" s="17" t="str">
        <x:v>HVAC technicians</x:v>
      </x:c>
      <x:c r="F776" s="18" t="str">
        <x:v>Thermostat Setup Checklist provides a focused hvac trades workflow for hvac technicians.</x:v>
      </x:c>
      <x:c r="G776" s="18" t="str">
        <x:v>Calculator, Maintenance, Inspection, Reports</x:v>
      </x:c>
      <x:c r="H776" s="17" t="str">
        <x:v>Paid + Pro</x:v>
      </x:c>
      <x:c r="I776" s="17" t="str">
        <x:v>Medium</x:v>
      </x:c>
      <x:c r="J776" s="17" t="str">
        <x:v>New candidate</x:v>
      </x:c>
      <x:c r="K776" s="17" t="str">
        <x:v>Unreviewed</x:v>
      </x:c>
      <x:c r="L776" s="17"/>
      <x:c r="M776" s="17"/>
      <x:c r="N776" s="17"/>
      <x:c r="O776" s="17"/>
      <x:c r="P776" s="17"/>
      <x:c r="Q776" s="17" t="str">
        <x:f>IF(COUNT(L776:P776)&lt;5,"",ROUND((L776*25+M776*20+N776*20+O776*20+P776*15)/5,1))</x:f>
      </x:c>
      <x:c r="R776" s="18" t="str"/>
      <x:c r="S776" s="18" t="str"/>
      <x:c r="T776" s="17" t="str"/>
      <x:c r="U776" s="19"/>
    </x:row>
    <x:row r="777">
      <x:c r="A777" s="17" t="str">
        <x:v>MTS-0776</x:v>
      </x:c>
      <x:c r="B777" s="17" t="str">
        <x:v>Preventive Maintenance Route</x:v>
      </x:c>
      <x:c r="C777" s="17" t="str">
        <x:v>HVAC Trades</x:v>
      </x:c>
      <x:c r="D777" s="17" t="str">
        <x:v>Mobile App</x:v>
      </x:c>
      <x:c r="E777" s="17" t="str">
        <x:v>HVAC technicians</x:v>
      </x:c>
      <x:c r="F777" s="18" t="str">
        <x:v>Preventive Maintenance Route provides a focused hvac trades workflow for hvac technicians.</x:v>
      </x:c>
      <x:c r="G777" s="18" t="str">
        <x:v>Calculator, Maintenance, Inspection, Reports</x:v>
      </x:c>
      <x:c r="H777" s="17" t="str">
        <x:v>Paid + Pro</x:v>
      </x:c>
      <x:c r="I777" s="17" t="str">
        <x:v>Medium</x:v>
      </x:c>
      <x:c r="J777" s="17" t="str">
        <x:v>New candidate</x:v>
      </x:c>
      <x:c r="K777" s="17" t="str">
        <x:v>Unreviewed</x:v>
      </x:c>
      <x:c r="L777" s="17"/>
      <x:c r="M777" s="17"/>
      <x:c r="N777" s="17"/>
      <x:c r="O777" s="17"/>
      <x:c r="P777" s="17"/>
      <x:c r="Q777" s="17" t="str">
        <x:f>IF(COUNT(L777:P777)&lt;5,"",ROUND((L777*25+M777*20+N777*20+O777*20+P777*15)/5,1))</x:f>
      </x:c>
      <x:c r="R777" s="18" t="str"/>
      <x:c r="S777" s="18" t="str"/>
      <x:c r="T777" s="17" t="str"/>
      <x:c r="U777" s="19"/>
    </x:row>
    <x:row r="778">
      <x:c r="A778" s="17" t="str">
        <x:v>MTS-0777</x:v>
      </x:c>
      <x:c r="B778" s="17" t="str">
        <x:v>HVAC Quote Builder</x:v>
      </x:c>
      <x:c r="C778" s="17" t="str">
        <x:v>HVAC Trades</x:v>
      </x:c>
      <x:c r="D778" s="17" t="str">
        <x:v>Mobile App</x:v>
      </x:c>
      <x:c r="E778" s="17" t="str">
        <x:v>HVAC technicians</x:v>
      </x:c>
      <x:c r="F778" s="18" t="str">
        <x:v>HVAC Quote Builder provides a focused hvac trades workflow for hvac technicians.</x:v>
      </x:c>
      <x:c r="G778" s="18" t="str">
        <x:v>Calculator, Maintenance, Inspection, Reports</x:v>
      </x:c>
      <x:c r="H778" s="17" t="str">
        <x:v>Paid + Pro</x:v>
      </x:c>
      <x:c r="I778" s="17" t="str">
        <x:v>Medium</x:v>
      </x:c>
      <x:c r="J778" s="17" t="str">
        <x:v>New candidate</x:v>
      </x:c>
      <x:c r="K778" s="17" t="str">
        <x:v>Unreviewed</x:v>
      </x:c>
      <x:c r="L778" s="17"/>
      <x:c r="M778" s="17"/>
      <x:c r="N778" s="17"/>
      <x:c r="O778" s="17"/>
      <x:c r="P778" s="17"/>
      <x:c r="Q778" s="17" t="str">
        <x:f>IF(COUNT(L778:P778)&lt;5,"",ROUND((L778*25+M778*20+N778*20+O778*20+P778*15)/5,1))</x:f>
      </x:c>
      <x:c r="R778" s="18" t="str"/>
      <x:c r="S778" s="18" t="str"/>
      <x:c r="T778" s="17" t="str"/>
      <x:c r="U778" s="19"/>
    </x:row>
    <x:row r="779">
      <x:c r="A779" s="17" t="str">
        <x:v>MTS-0778</x:v>
      </x:c>
      <x:c r="B779" s="17" t="str">
        <x:v>Airflow Measurement Log</x:v>
      </x:c>
      <x:c r="C779" s="17" t="str">
        <x:v>HVAC Trades</x:v>
      </x:c>
      <x:c r="D779" s="17" t="str">
        <x:v>Mobile App</x:v>
      </x:c>
      <x:c r="E779" s="17" t="str">
        <x:v>HVAC technicians</x:v>
      </x:c>
      <x:c r="F779" s="18" t="str">
        <x:v>Airflow Measurement Log provides a focused hvac trades workflow for hvac technicians.</x:v>
      </x:c>
      <x:c r="G779" s="18" t="str">
        <x:v>Calculator, Maintenance, Inspection, Reports</x:v>
      </x:c>
      <x:c r="H779" s="17" t="str">
        <x:v>Paid + Pro</x:v>
      </x:c>
      <x:c r="I779" s="17" t="str">
        <x:v>Medium</x:v>
      </x:c>
      <x:c r="J779" s="17" t="str">
        <x:v>New candidate</x:v>
      </x:c>
      <x:c r="K779" s="17" t="str">
        <x:v>Unreviewed</x:v>
      </x:c>
      <x:c r="L779" s="17"/>
      <x:c r="M779" s="17"/>
      <x:c r="N779" s="17"/>
      <x:c r="O779" s="17"/>
      <x:c r="P779" s="17"/>
      <x:c r="Q779" s="17" t="str">
        <x:f>IF(COUNT(L779:P779)&lt;5,"",ROUND((L779*25+M779*20+N779*20+O779*20+P779*15)/5,1))</x:f>
      </x:c>
      <x:c r="R779" s="18" t="str"/>
      <x:c r="S779" s="18" t="str"/>
      <x:c r="T779" s="17" t="str"/>
      <x:c r="U779" s="19"/>
    </x:row>
    <x:row r="780">
      <x:c r="A780" s="17" t="str">
        <x:v>MTS-0779</x:v>
      </x:c>
      <x:c r="B780" s="17" t="str">
        <x:v>Heat Pump Cost Estimator</x:v>
      </x:c>
      <x:c r="C780" s="17" t="str">
        <x:v>HVAC Trades</x:v>
      </x:c>
      <x:c r="D780" s="17" t="str">
        <x:v>Mobile App</x:v>
      </x:c>
      <x:c r="E780" s="17" t="str">
        <x:v>HVAC technicians</x:v>
      </x:c>
      <x:c r="F780" s="18" t="str">
        <x:v>Heat Pump Cost Estimator provides a focused hvac trades workflow for hvac technicians.</x:v>
      </x:c>
      <x:c r="G780" s="18" t="str">
        <x:v>Calculator, Maintenance, Inspection, Reports</x:v>
      </x:c>
      <x:c r="H780" s="17" t="str">
        <x:v>Paid + Pro</x:v>
      </x:c>
      <x:c r="I780" s="17" t="str">
        <x:v>Medium</x:v>
      </x:c>
      <x:c r="J780" s="17" t="str">
        <x:v>New candidate</x:v>
      </x:c>
      <x:c r="K780" s="17" t="str">
        <x:v>Unreviewed</x:v>
      </x:c>
      <x:c r="L780" s="17"/>
      <x:c r="M780" s="17"/>
      <x:c r="N780" s="17"/>
      <x:c r="O780" s="17"/>
      <x:c r="P780" s="17"/>
      <x:c r="Q780" s="17" t="str">
        <x:f>IF(COUNT(L780:P780)&lt;5,"",ROUND((L780*25+M780*20+N780*20+O780*20+P780*15)/5,1))</x:f>
      </x:c>
      <x:c r="R780" s="18" t="str"/>
      <x:c r="S780" s="18" t="str"/>
      <x:c r="T780" s="17" t="str"/>
      <x:c r="U780" s="19"/>
    </x:row>
    <x:row r="781">
      <x:c r="A781" s="17" t="str">
        <x:v>MTS-0780</x:v>
      </x:c>
      <x:c r="B781" s="17" t="str">
        <x:v>Customer Maintenance Report</x:v>
      </x:c>
      <x:c r="C781" s="17" t="str">
        <x:v>HVAC Trades</x:v>
      </x:c>
      <x:c r="D781" s="17" t="str">
        <x:v>Mobile App</x:v>
      </x:c>
      <x:c r="E781" s="17" t="str">
        <x:v>HVAC technicians</x:v>
      </x:c>
      <x:c r="F781" s="18" t="str">
        <x:v>Customer Maintenance Report provides a focused hvac trades workflow for hvac technicians.</x:v>
      </x:c>
      <x:c r="G781" s="18" t="str">
        <x:v>Calculator, Maintenance, Inspection, Reports</x:v>
      </x:c>
      <x:c r="H781" s="17" t="str">
        <x:v>Paid + Pro</x:v>
      </x:c>
      <x:c r="I781" s="17" t="str">
        <x:v>Medium</x:v>
      </x:c>
      <x:c r="J781" s="17" t="str">
        <x:v>New candidate</x:v>
      </x:c>
      <x:c r="K781" s="17" t="str">
        <x:v>Unreviewed</x:v>
      </x:c>
      <x:c r="L781" s="17"/>
      <x:c r="M781" s="17"/>
      <x:c r="N781" s="17"/>
      <x:c r="O781" s="17"/>
      <x:c r="P781" s="17"/>
      <x:c r="Q781" s="17" t="str">
        <x:f>IF(COUNT(L781:P781)&lt;5,"",ROUND((L781*25+M781*20+N781*20+O781*20+P781*15)/5,1))</x:f>
      </x:c>
      <x:c r="R781" s="18" t="str"/>
      <x:c r="S781" s="18" t="str"/>
      <x:c r="T781" s="17" t="str"/>
      <x:c r="U781" s="19"/>
    </x:row>
    <x:row r="782">
      <x:c r="A782" s="17" t="str">
        <x:v>MTS-0781</x:v>
      </x:c>
      <x:c r="B782" s="17" t="str">
        <x:v>Solar Site Survey</x:v>
      </x:c>
      <x:c r="C782" s="17" t="str">
        <x:v>Solar and Energy</x:v>
      </x:c>
      <x:c r="D782" s="17" t="str">
        <x:v>Mobile + Web</x:v>
      </x:c>
      <x:c r="E782" s="17" t="str">
        <x:v>Installers and property owners</x:v>
      </x:c>
      <x:c r="F782" s="18" t="str">
        <x:v>Solar Site Survey provides a focused solar and energy workflow for installers and property owners.</x:v>
      </x:c>
      <x:c r="G782" s="18" t="str">
        <x:v>Estimator, Camera, Inspection, Reports</x:v>
      </x:c>
      <x:c r="H782" s="17" t="str">
        <x:v>Subscription + Pro</x:v>
      </x:c>
      <x:c r="I782" s="17" t="str">
        <x:v>Large</x:v>
      </x:c>
      <x:c r="J782" s="17" t="str">
        <x:v>New candidate</x:v>
      </x:c>
      <x:c r="K782" s="17" t="str">
        <x:v>Unreviewed</x:v>
      </x:c>
      <x:c r="L782" s="17"/>
      <x:c r="M782" s="17"/>
      <x:c r="N782" s="17"/>
      <x:c r="O782" s="17"/>
      <x:c r="P782" s="17"/>
      <x:c r="Q782" s="17" t="str">
        <x:f>IF(COUNT(L782:P782)&lt;5,"",ROUND((L782*25+M782*20+N782*20+O782*20+P782*15)/5,1))</x:f>
      </x:c>
      <x:c r="R782" s="18" t="str"/>
      <x:c r="S782" s="18" t="str"/>
      <x:c r="T782" s="17" t="str"/>
      <x:c r="U782" s="19"/>
    </x:row>
    <x:row r="783">
      <x:c r="A783" s="17" t="str">
        <x:v>MTS-0782</x:v>
      </x:c>
      <x:c r="B783" s="17" t="str">
        <x:v>Panel Layout Notebook</x:v>
      </x:c>
      <x:c r="C783" s="17" t="str">
        <x:v>Solar and Energy</x:v>
      </x:c>
      <x:c r="D783" s="17" t="str">
        <x:v>Mobile + Web</x:v>
      </x:c>
      <x:c r="E783" s="17" t="str">
        <x:v>Installers and property owners</x:v>
      </x:c>
      <x:c r="F783" s="18" t="str">
        <x:v>Panel Layout Notebook provides a focused solar and energy workflow for installers and property owners.</x:v>
      </x:c>
      <x:c r="G783" s="18" t="str">
        <x:v>Estimator, Camera, Inspection, Reports</x:v>
      </x:c>
      <x:c r="H783" s="17" t="str">
        <x:v>Subscription + Pro</x:v>
      </x:c>
      <x:c r="I783" s="17" t="str">
        <x:v>Large</x:v>
      </x:c>
      <x:c r="J783" s="17" t="str">
        <x:v>New candidate</x:v>
      </x:c>
      <x:c r="K783" s="17" t="str">
        <x:v>Unreviewed</x:v>
      </x:c>
      <x:c r="L783" s="17"/>
      <x:c r="M783" s="17"/>
      <x:c r="N783" s="17"/>
      <x:c r="O783" s="17"/>
      <x:c r="P783" s="17"/>
      <x:c r="Q783" s="17" t="str">
        <x:f>IF(COUNT(L783:P783)&lt;5,"",ROUND((L783*25+M783*20+N783*20+O783*20+P783*15)/5,1))</x:f>
      </x:c>
      <x:c r="R783" s="18" t="str"/>
      <x:c r="S783" s="18" t="str"/>
      <x:c r="T783" s="17" t="str"/>
      <x:c r="U783" s="19"/>
    </x:row>
    <x:row r="784">
      <x:c r="A784" s="17" t="str">
        <x:v>MTS-0783</x:v>
      </x:c>
      <x:c r="B784" s="17" t="str">
        <x:v>Solar Production Estimator</x:v>
      </x:c>
      <x:c r="C784" s="17" t="str">
        <x:v>Solar and Energy</x:v>
      </x:c>
      <x:c r="D784" s="17" t="str">
        <x:v>Mobile + Web</x:v>
      </x:c>
      <x:c r="E784" s="17" t="str">
        <x:v>Installers and property owners</x:v>
      </x:c>
      <x:c r="F784" s="18" t="str">
        <x:v>Solar Production Estimator provides a focused solar and energy workflow for installers and property owners.</x:v>
      </x:c>
      <x:c r="G784" s="18" t="str">
        <x:v>Estimator, Camera, Inspection, Reports</x:v>
      </x:c>
      <x:c r="H784" s="17" t="str">
        <x:v>Subscription + Pro</x:v>
      </x:c>
      <x:c r="I784" s="17" t="str">
        <x:v>Large</x:v>
      </x:c>
      <x:c r="J784" s="17" t="str">
        <x:v>New candidate</x:v>
      </x:c>
      <x:c r="K784" s="17" t="str">
        <x:v>Unreviewed</x:v>
      </x:c>
      <x:c r="L784" s="17"/>
      <x:c r="M784" s="17"/>
      <x:c r="N784" s="17"/>
      <x:c r="O784" s="17"/>
      <x:c r="P784" s="17"/>
      <x:c r="Q784" s="17" t="str">
        <x:f>IF(COUNT(L784:P784)&lt;5,"",ROUND((L784*25+M784*20+N784*20+O784*20+P784*15)/5,1))</x:f>
      </x:c>
      <x:c r="R784" s="18" t="str"/>
      <x:c r="S784" s="18" t="str"/>
      <x:c r="T784" s="17" t="str"/>
      <x:c r="U784" s="19"/>
    </x:row>
    <x:row r="785">
      <x:c r="A785" s="17" t="str">
        <x:v>MTS-0784</x:v>
      </x:c>
      <x:c r="B785" s="17" t="str">
        <x:v>Battery Backup Planner</x:v>
      </x:c>
      <x:c r="C785" s="17" t="str">
        <x:v>Solar and Energy</x:v>
      </x:c>
      <x:c r="D785" s="17" t="str">
        <x:v>Mobile + Web</x:v>
      </x:c>
      <x:c r="E785" s="17" t="str">
        <x:v>Installers and property owners</x:v>
      </x:c>
      <x:c r="F785" s="18" t="str">
        <x:v>Battery Backup Planner provides a focused solar and energy workflow for installers and property owners.</x:v>
      </x:c>
      <x:c r="G785" s="18" t="str">
        <x:v>Estimator, Camera, Inspection, Reports</x:v>
      </x:c>
      <x:c r="H785" s="17" t="str">
        <x:v>Subscription + Pro</x:v>
      </x:c>
      <x:c r="I785" s="17" t="str">
        <x:v>Large</x:v>
      </x:c>
      <x:c r="J785" s="17" t="str">
        <x:v>New candidate</x:v>
      </x:c>
      <x:c r="K785" s="17" t="str">
        <x:v>Unreviewed</x:v>
      </x:c>
      <x:c r="L785" s="17"/>
      <x:c r="M785" s="17"/>
      <x:c r="N785" s="17"/>
      <x:c r="O785" s="17"/>
      <x:c r="P785" s="17"/>
      <x:c r="Q785" s="17" t="str">
        <x:f>IF(COUNT(L785:P785)&lt;5,"",ROUND((L785*25+M785*20+N785*20+O785*20+P785*15)/5,1))</x:f>
      </x:c>
      <x:c r="R785" s="18" t="str"/>
      <x:c r="S785" s="18" t="str"/>
      <x:c r="T785" s="17" t="str"/>
      <x:c r="U785" s="19"/>
    </x:row>
    <x:row r="786">
      <x:c r="A786" s="17" t="str">
        <x:v>MTS-0785</x:v>
      </x:c>
      <x:c r="B786" s="17" t="str">
        <x:v>Home Energy Audit</x:v>
      </x:c>
      <x:c r="C786" s="17" t="str">
        <x:v>Solar and Energy</x:v>
      </x:c>
      <x:c r="D786" s="17" t="str">
        <x:v>Mobile + Web</x:v>
      </x:c>
      <x:c r="E786" s="17" t="str">
        <x:v>Installers and property owners</x:v>
      </x:c>
      <x:c r="F786" s="18" t="str">
        <x:v>Home Energy Audit provides a focused solar and energy workflow for installers and property owners.</x:v>
      </x:c>
      <x:c r="G786" s="18" t="str">
        <x:v>Estimator, Camera, Inspection, Reports</x:v>
      </x:c>
      <x:c r="H786" s="17" t="str">
        <x:v>Subscription + Pro</x:v>
      </x:c>
      <x:c r="I786" s="17" t="str">
        <x:v>Large</x:v>
      </x:c>
      <x:c r="J786" s="17" t="str">
        <x:v>New candidate</x:v>
      </x:c>
      <x:c r="K786" s="17" t="str">
        <x:v>Unreviewed</x:v>
      </x:c>
      <x:c r="L786" s="17"/>
      <x:c r="M786" s="17"/>
      <x:c r="N786" s="17"/>
      <x:c r="O786" s="17"/>
      <x:c r="P786" s="17"/>
      <x:c r="Q786" s="17" t="str">
        <x:f>IF(COUNT(L786:P786)&lt;5,"",ROUND((L786*25+M786*20+N786*20+O786*20+P786*15)/5,1))</x:f>
      </x:c>
      <x:c r="R786" s="18" t="str"/>
      <x:c r="S786" s="18" t="str"/>
      <x:c r="T786" s="17" t="str"/>
      <x:c r="U786" s="19"/>
    </x:row>
    <x:row r="787">
      <x:c r="A787" s="17" t="str">
        <x:v>MTS-0786</x:v>
      </x:c>
      <x:c r="B787" s="17" t="str">
        <x:v>Appliance Energy Cost</x:v>
      </x:c>
      <x:c r="C787" s="17" t="str">
        <x:v>Solar and Energy</x:v>
      </x:c>
      <x:c r="D787" s="17" t="str">
        <x:v>Mobile + Web</x:v>
      </x:c>
      <x:c r="E787" s="17" t="str">
        <x:v>Installers and property owners</x:v>
      </x:c>
      <x:c r="F787" s="18" t="str">
        <x:v>Appliance Energy Cost provides a focused solar and energy workflow for installers and property owners.</x:v>
      </x:c>
      <x:c r="G787" s="18" t="str">
        <x:v>Estimator, Camera, Inspection, Reports</x:v>
      </x:c>
      <x:c r="H787" s="17" t="str">
        <x:v>Subscription + Pro</x:v>
      </x:c>
      <x:c r="I787" s="17" t="str">
        <x:v>Large</x:v>
      </x:c>
      <x:c r="J787" s="17" t="str">
        <x:v>New candidate</x:v>
      </x:c>
      <x:c r="K787" s="17" t="str">
        <x:v>Unreviewed</x:v>
      </x:c>
      <x:c r="L787" s="17"/>
      <x:c r="M787" s="17"/>
      <x:c r="N787" s="17"/>
      <x:c r="O787" s="17"/>
      <x:c r="P787" s="17"/>
      <x:c r="Q787" s="17" t="str">
        <x:f>IF(COUNT(L787:P787)&lt;5,"",ROUND((L787*25+M787*20+N787*20+O787*20+P787*15)/5,1))</x:f>
      </x:c>
      <x:c r="R787" s="18" t="str"/>
      <x:c r="S787" s="18" t="str"/>
      <x:c r="T787" s="17" t="str"/>
      <x:c r="U787" s="19"/>
    </x:row>
    <x:row r="788">
      <x:c r="A788" s="17" t="str">
        <x:v>MTS-0787</x:v>
      </x:c>
      <x:c r="B788" s="17" t="str">
        <x:v>Generator Solar Hybrid Planner</x:v>
      </x:c>
      <x:c r="C788" s="17" t="str">
        <x:v>Solar and Energy</x:v>
      </x:c>
      <x:c r="D788" s="17" t="str">
        <x:v>Mobile + Web</x:v>
      </x:c>
      <x:c r="E788" s="17" t="str">
        <x:v>Installers and property owners</x:v>
      </x:c>
      <x:c r="F788" s="18" t="str">
        <x:v>Generator Solar Hybrid Planner provides a focused solar and energy workflow for installers and property owners.</x:v>
      </x:c>
      <x:c r="G788" s="18" t="str">
        <x:v>Estimator, Camera, Inspection, Reports</x:v>
      </x:c>
      <x:c r="H788" s="17" t="str">
        <x:v>Subscription + Pro</x:v>
      </x:c>
      <x:c r="I788" s="17" t="str">
        <x:v>Large</x:v>
      </x:c>
      <x:c r="J788" s="17" t="str">
        <x:v>New candidate</x:v>
      </x:c>
      <x:c r="K788" s="17" t="str">
        <x:v>Unreviewed</x:v>
      </x:c>
      <x:c r="L788" s="17"/>
      <x:c r="M788" s="17"/>
      <x:c r="N788" s="17"/>
      <x:c r="O788" s="17"/>
      <x:c r="P788" s="17"/>
      <x:c r="Q788" s="17" t="str">
        <x:f>IF(COUNT(L788:P788)&lt;5,"",ROUND((L788*25+M788*20+N788*20+O788*20+P788*15)/5,1))</x:f>
      </x:c>
      <x:c r="R788" s="18" t="str"/>
      <x:c r="S788" s="18" t="str"/>
      <x:c r="T788" s="17" t="str"/>
      <x:c r="U788" s="19"/>
    </x:row>
    <x:row r="789">
      <x:c r="A789" s="17" t="str">
        <x:v>MTS-0788</x:v>
      </x:c>
      <x:c r="B789" s="17" t="str">
        <x:v>Solar Maintenance Log</x:v>
      </x:c>
      <x:c r="C789" s="17" t="str">
        <x:v>Solar and Energy</x:v>
      </x:c>
      <x:c r="D789" s="17" t="str">
        <x:v>Mobile + Web</x:v>
      </x:c>
      <x:c r="E789" s="17" t="str">
        <x:v>Installers and property owners</x:v>
      </x:c>
      <x:c r="F789" s="18" t="str">
        <x:v>Solar Maintenance Log provides a focused solar and energy workflow for installers and property owners.</x:v>
      </x:c>
      <x:c r="G789" s="18" t="str">
        <x:v>Estimator, Camera, Inspection, Reports</x:v>
      </x:c>
      <x:c r="H789" s="17" t="str">
        <x:v>Subscription + Pro</x:v>
      </x:c>
      <x:c r="I789" s="17" t="str">
        <x:v>Large</x:v>
      </x:c>
      <x:c r="J789" s="17" t="str">
        <x:v>New candidate</x:v>
      </x:c>
      <x:c r="K789" s="17" t="str">
        <x:v>Unreviewed</x:v>
      </x:c>
      <x:c r="L789" s="17"/>
      <x:c r="M789" s="17"/>
      <x:c r="N789" s="17"/>
      <x:c r="O789" s="17"/>
      <x:c r="P789" s="17"/>
      <x:c r="Q789" s="17" t="str">
        <x:f>IF(COUNT(L789:P789)&lt;5,"",ROUND((L789*25+M789*20+N789*20+O789*20+P789*15)/5,1))</x:f>
      </x:c>
      <x:c r="R789" s="18" t="str"/>
      <x:c r="S789" s="18" t="str"/>
      <x:c r="T789" s="17" t="str"/>
      <x:c r="U789" s="19"/>
    </x:row>
    <x:row r="790">
      <x:c r="A790" s="17" t="str">
        <x:v>MTS-0789</x:v>
      </x:c>
      <x:c r="B790" s="17" t="str">
        <x:v>Roof Obstruction Mapper</x:v>
      </x:c>
      <x:c r="C790" s="17" t="str">
        <x:v>Solar and Energy</x:v>
      </x:c>
      <x:c r="D790" s="17" t="str">
        <x:v>Mobile + Web</x:v>
      </x:c>
      <x:c r="E790" s="17" t="str">
        <x:v>Installers and property owners</x:v>
      </x:c>
      <x:c r="F790" s="18" t="str">
        <x:v>Roof Obstruction Mapper provides a focused solar and energy workflow for installers and property owners.</x:v>
      </x:c>
      <x:c r="G790" s="18" t="str">
        <x:v>Estimator, Camera, Inspection, Reports</x:v>
      </x:c>
      <x:c r="H790" s="17" t="str">
        <x:v>Subscription + Pro</x:v>
      </x:c>
      <x:c r="I790" s="17" t="str">
        <x:v>Large</x:v>
      </x:c>
      <x:c r="J790" s="17" t="str">
        <x:v>New candidate</x:v>
      </x:c>
      <x:c r="K790" s="17" t="str">
        <x:v>Unreviewed</x:v>
      </x:c>
      <x:c r="L790" s="17"/>
      <x:c r="M790" s="17"/>
      <x:c r="N790" s="17"/>
      <x:c r="O790" s="17"/>
      <x:c r="P790" s="17"/>
      <x:c r="Q790" s="17" t="str">
        <x:f>IF(COUNT(L790:P790)&lt;5,"",ROUND((L790*25+M790*20+N790*20+O790*20+P790*15)/5,1))</x:f>
      </x:c>
      <x:c r="R790" s="18" t="str"/>
      <x:c r="S790" s="18" t="str"/>
      <x:c r="T790" s="17" t="str"/>
      <x:c r="U790" s="19"/>
    </x:row>
    <x:row r="791">
      <x:c r="A791" s="17" t="str">
        <x:v>MTS-0790</x:v>
      </x:c>
      <x:c r="B791" s="17" t="str">
        <x:v>Energy Bill Comparison</x:v>
      </x:c>
      <x:c r="C791" s="17" t="str">
        <x:v>Solar and Energy</x:v>
      </x:c>
      <x:c r="D791" s="17" t="str">
        <x:v>Mobile + Web</x:v>
      </x:c>
      <x:c r="E791" s="17" t="str">
        <x:v>Installers and property owners</x:v>
      </x:c>
      <x:c r="F791" s="18" t="str">
        <x:v>Energy Bill Comparison provides a focused solar and energy workflow for installers and property owners.</x:v>
      </x:c>
      <x:c r="G791" s="18" t="str">
        <x:v>Estimator, Camera, Inspection, Reports</x:v>
      </x:c>
      <x:c r="H791" s="17" t="str">
        <x:v>Subscription + Pro</x:v>
      </x:c>
      <x:c r="I791" s="17" t="str">
        <x:v>Large</x:v>
      </x:c>
      <x:c r="J791" s="17" t="str">
        <x:v>New candidate</x:v>
      </x:c>
      <x:c r="K791" s="17" t="str">
        <x:v>Unreviewed</x:v>
      </x:c>
      <x:c r="L791" s="17"/>
      <x:c r="M791" s="17"/>
      <x:c r="N791" s="17"/>
      <x:c r="O791" s="17"/>
      <x:c r="P791" s="17"/>
      <x:c r="Q791" s="17" t="str">
        <x:f>IF(COUNT(L791:P791)&lt;5,"",ROUND((L791*25+M791*20+N791*20+O791*20+P791*15)/5,1))</x:f>
      </x:c>
      <x:c r="R791" s="18" t="str"/>
      <x:c r="S791" s="18" t="str"/>
      <x:c r="T791" s="17" t="str"/>
      <x:c r="U791" s="19"/>
    </x:row>
    <x:row r="792">
      <x:c r="A792" s="17" t="str">
        <x:v>MTS-0791</x:v>
      </x:c>
      <x:c r="B792" s="17" t="str">
        <x:v>EV Solar Charging Planner</x:v>
      </x:c>
      <x:c r="C792" s="17" t="str">
        <x:v>Solar and Energy</x:v>
      </x:c>
      <x:c r="D792" s="17" t="str">
        <x:v>Mobile + Web</x:v>
      </x:c>
      <x:c r="E792" s="17" t="str">
        <x:v>Installers and property owners</x:v>
      </x:c>
      <x:c r="F792" s="18" t="str">
        <x:v>EV Solar Charging Planner provides a focused solar and energy workflow for installers and property owners.</x:v>
      </x:c>
      <x:c r="G792" s="18" t="str">
        <x:v>Estimator, Camera, Inspection, Reports</x:v>
      </x:c>
      <x:c r="H792" s="17" t="str">
        <x:v>Subscription + Pro</x:v>
      </x:c>
      <x:c r="I792" s="17" t="str">
        <x:v>Large</x:v>
      </x:c>
      <x:c r="J792" s="17" t="str">
        <x:v>New candidate</x:v>
      </x:c>
      <x:c r="K792" s="17" t="str">
        <x:v>Unreviewed</x:v>
      </x:c>
      <x:c r="L792" s="17"/>
      <x:c r="M792" s="17"/>
      <x:c r="N792" s="17"/>
      <x:c r="O792" s="17"/>
      <x:c r="P792" s="17"/>
      <x:c r="Q792" s="17" t="str">
        <x:f>IF(COUNT(L792:P792)&lt;5,"",ROUND((L792*25+M792*20+N792*20+O792*20+P792*15)/5,1))</x:f>
      </x:c>
      <x:c r="R792" s="18" t="str"/>
      <x:c r="S792" s="18" t="str"/>
      <x:c r="T792" s="17" t="str"/>
      <x:c r="U792" s="19"/>
    </x:row>
    <x:row r="793">
      <x:c r="A793" s="17" t="str">
        <x:v>MTS-0792</x:v>
      </x:c>
      <x:c r="B793" s="17" t="str">
        <x:v>Commercial Energy Checklist</x:v>
      </x:c>
      <x:c r="C793" s="17" t="str">
        <x:v>Solar and Energy</x:v>
      </x:c>
      <x:c r="D793" s="17" t="str">
        <x:v>Mobile + Web</x:v>
      </x:c>
      <x:c r="E793" s="17" t="str">
        <x:v>Installers and property owners</x:v>
      </x:c>
      <x:c r="F793" s="18" t="str">
        <x:v>Commercial Energy Checklist provides a focused solar and energy workflow for installers and property owners.</x:v>
      </x:c>
      <x:c r="G793" s="18" t="str">
        <x:v>Estimator, Camera, Inspection, Reports</x:v>
      </x:c>
      <x:c r="H793" s="17" t="str">
        <x:v>Subscription + Pro</x:v>
      </x:c>
      <x:c r="I793" s="17" t="str">
        <x:v>Large</x:v>
      </x:c>
      <x:c r="J793" s="17" t="str">
        <x:v>New candidate</x:v>
      </x:c>
      <x:c r="K793" s="17" t="str">
        <x:v>Unreviewed</x:v>
      </x:c>
      <x:c r="L793" s="17"/>
      <x:c r="M793" s="17"/>
      <x:c r="N793" s="17"/>
      <x:c r="O793" s="17"/>
      <x:c r="P793" s="17"/>
      <x:c r="Q793" s="17" t="str">
        <x:f>IF(COUNT(L793:P793)&lt;5,"",ROUND((L793*25+M793*20+N793*20+O793*20+P793*15)/5,1))</x:f>
      </x:c>
      <x:c r="R793" s="18" t="str"/>
      <x:c r="S793" s="18" t="str"/>
      <x:c r="T793" s="17" t="str"/>
      <x:c r="U793" s="19"/>
    </x:row>
    <x:row r="794">
      <x:c r="A794" s="17" t="str">
        <x:v>MTS-0793</x:v>
      </x:c>
      <x:c r="B794" s="17" t="str">
        <x:v>Dumpster Service Tracker</x:v>
      </x:c>
      <x:c r="C794" s="17" t="str">
        <x:v>Waste and Recycling</x:v>
      </x:c>
      <x:c r="D794" s="17" t="str">
        <x:v>Mobile + SaaS</x:v>
      </x:c>
      <x:c r="E794" s="17" t="str">
        <x:v>Facilities and haulers</x:v>
      </x:c>
      <x:c r="F794" s="18" t="str">
        <x:v>Dumpster Service Tracker provides a focused waste and recycling workflow for facilities and haulers.</x:v>
      </x:c>
      <x:c r="G794" s="18" t="str">
        <x:v>Tracking, Scheduling, Reports, Inventory</x:v>
      </x:c>
      <x:c r="H794" s="17" t="str">
        <x:v>Subscription</x:v>
      </x:c>
      <x:c r="I794" s="17" t="str">
        <x:v>Medium</x:v>
      </x:c>
      <x:c r="J794" s="17" t="str">
        <x:v>New candidate</x:v>
      </x:c>
      <x:c r="K794" s="17" t="str">
        <x:v>Unreviewed</x:v>
      </x:c>
      <x:c r="L794" s="17"/>
      <x:c r="M794" s="17"/>
      <x:c r="N794" s="17"/>
      <x:c r="O794" s="17"/>
      <x:c r="P794" s="17"/>
      <x:c r="Q794" s="17" t="str">
        <x:f>IF(COUNT(L794:P794)&lt;5,"",ROUND((L794*25+M794*20+N794*20+O794*20+P794*15)/5,1))</x:f>
      </x:c>
      <x:c r="R794" s="18" t="str"/>
      <x:c r="S794" s="18" t="str"/>
      <x:c r="T794" s="17" t="str"/>
      <x:c r="U794" s="19"/>
    </x:row>
    <x:row r="795">
      <x:c r="A795" s="17" t="str">
        <x:v>MTS-0794</x:v>
      </x:c>
      <x:c r="B795" s="17" t="str">
        <x:v>Waste Audit Reporter</x:v>
      </x:c>
      <x:c r="C795" s="17" t="str">
        <x:v>Waste and Recycling</x:v>
      </x:c>
      <x:c r="D795" s="17" t="str">
        <x:v>Mobile + SaaS</x:v>
      </x:c>
      <x:c r="E795" s="17" t="str">
        <x:v>Facilities and haulers</x:v>
      </x:c>
      <x:c r="F795" s="18" t="str">
        <x:v>Waste Audit Reporter provides a focused waste and recycling workflow for facilities and haulers.</x:v>
      </x:c>
      <x:c r="G795" s="18" t="str">
        <x:v>Tracking, Scheduling, Reports, Inventory</x:v>
      </x:c>
      <x:c r="H795" s="17" t="str">
        <x:v>Subscription</x:v>
      </x:c>
      <x:c r="I795" s="17" t="str">
        <x:v>Medium</x:v>
      </x:c>
      <x:c r="J795" s="17" t="str">
        <x:v>New candidate</x:v>
      </x:c>
      <x:c r="K795" s="17" t="str">
        <x:v>Unreviewed</x:v>
      </x:c>
      <x:c r="L795" s="17"/>
      <x:c r="M795" s="17"/>
      <x:c r="N795" s="17"/>
      <x:c r="O795" s="17"/>
      <x:c r="P795" s="17"/>
      <x:c r="Q795" s="17" t="str">
        <x:f>IF(COUNT(L795:P795)&lt;5,"",ROUND((L795*25+M795*20+N795*20+O795*20+P795*15)/5,1))</x:f>
      </x:c>
      <x:c r="R795" s="18" t="str"/>
      <x:c r="S795" s="18" t="str"/>
      <x:c r="T795" s="17" t="str"/>
      <x:c r="U795" s="19"/>
    </x:row>
    <x:row r="796">
      <x:c r="A796" s="17" t="str">
        <x:v>MTS-0795</x:v>
      </x:c>
      <x:c r="B796" s="17" t="str">
        <x:v>Recycling Contamination Log</x:v>
      </x:c>
      <x:c r="C796" s="17" t="str">
        <x:v>Waste and Recycling</x:v>
      </x:c>
      <x:c r="D796" s="17" t="str">
        <x:v>Mobile + SaaS</x:v>
      </x:c>
      <x:c r="E796" s="17" t="str">
        <x:v>Facilities and haulers</x:v>
      </x:c>
      <x:c r="F796" s="18" t="str">
        <x:v>Recycling Contamination Log provides a focused waste and recycling workflow for facilities and haulers.</x:v>
      </x:c>
      <x:c r="G796" s="18" t="str">
        <x:v>Tracking, Scheduling, Reports, Inventory</x:v>
      </x:c>
      <x:c r="H796" s="17" t="str">
        <x:v>Subscription</x:v>
      </x:c>
      <x:c r="I796" s="17" t="str">
        <x:v>Medium</x:v>
      </x:c>
      <x:c r="J796" s="17" t="str">
        <x:v>New candidate</x:v>
      </x:c>
      <x:c r="K796" s="17" t="str">
        <x:v>Unreviewed</x:v>
      </x:c>
      <x:c r="L796" s="17"/>
      <x:c r="M796" s="17"/>
      <x:c r="N796" s="17"/>
      <x:c r="O796" s="17"/>
      <x:c r="P796" s="17"/>
      <x:c r="Q796" s="17" t="str">
        <x:f>IF(COUNT(L796:P796)&lt;5,"",ROUND((L796*25+M796*20+N796*20+O796*20+P796*15)/5,1))</x:f>
      </x:c>
      <x:c r="R796" s="18" t="str"/>
      <x:c r="S796" s="18" t="str"/>
      <x:c r="T796" s="17" t="str"/>
      <x:c r="U796" s="19"/>
    </x:row>
    <x:row r="797">
      <x:c r="A797" s="17" t="str">
        <x:v>MTS-0796</x:v>
      </x:c>
      <x:c r="B797" s="17" t="str">
        <x:v>Hazardous Item Inventory</x:v>
      </x:c>
      <x:c r="C797" s="17" t="str">
        <x:v>Waste and Recycling</x:v>
      </x:c>
      <x:c r="D797" s="17" t="str">
        <x:v>Mobile + SaaS</x:v>
      </x:c>
      <x:c r="E797" s="17" t="str">
        <x:v>Facilities and haulers</x:v>
      </x:c>
      <x:c r="F797" s="18" t="str">
        <x:v>Hazardous Item Inventory provides a focused waste and recycling workflow for facilities and haulers.</x:v>
      </x:c>
      <x:c r="G797" s="18" t="str">
        <x:v>Tracking, Scheduling, Reports, Inventory</x:v>
      </x:c>
      <x:c r="H797" s="17" t="str">
        <x:v>Subscription</x:v>
      </x:c>
      <x:c r="I797" s="17" t="str">
        <x:v>Medium</x:v>
      </x:c>
      <x:c r="J797" s="17" t="str">
        <x:v>New candidate</x:v>
      </x:c>
      <x:c r="K797" s="17" t="str">
        <x:v>Unreviewed</x:v>
      </x:c>
      <x:c r="L797" s="17"/>
      <x:c r="M797" s="17"/>
      <x:c r="N797" s="17"/>
      <x:c r="O797" s="17"/>
      <x:c r="P797" s="17"/>
      <x:c r="Q797" s="17" t="str">
        <x:f>IF(COUNT(L797:P797)&lt;5,"",ROUND((L797*25+M797*20+N797*20+O797*20+P797*15)/5,1))</x:f>
      </x:c>
      <x:c r="R797" s="18" t="str"/>
      <x:c r="S797" s="18" t="str"/>
      <x:c r="T797" s="17" t="str"/>
      <x:c r="U797" s="19"/>
    </x:row>
    <x:row r="798">
      <x:c r="A798" s="17" t="str">
        <x:v>MTS-0797</x:v>
      </x:c>
      <x:c r="B798" s="17" t="str">
        <x:v>Pickup Proof Manager</x:v>
      </x:c>
      <x:c r="C798" s="17" t="str">
        <x:v>Waste and Recycling</x:v>
      </x:c>
      <x:c r="D798" s="17" t="str">
        <x:v>Mobile + SaaS</x:v>
      </x:c>
      <x:c r="E798" s="17" t="str">
        <x:v>Facilities and haulers</x:v>
      </x:c>
      <x:c r="F798" s="18" t="str">
        <x:v>Pickup Proof Manager provides a focused waste and recycling workflow for facilities and haulers.</x:v>
      </x:c>
      <x:c r="G798" s="18" t="str">
        <x:v>Tracking, Scheduling, Reports, Inventory</x:v>
      </x:c>
      <x:c r="H798" s="17" t="str">
        <x:v>Subscription</x:v>
      </x:c>
      <x:c r="I798" s="17" t="str">
        <x:v>Medium</x:v>
      </x:c>
      <x:c r="J798" s="17" t="str">
        <x:v>New candidate</x:v>
      </x:c>
      <x:c r="K798" s="17" t="str">
        <x:v>Unreviewed</x:v>
      </x:c>
      <x:c r="L798" s="17"/>
      <x:c r="M798" s="17"/>
      <x:c r="N798" s="17"/>
      <x:c r="O798" s="17"/>
      <x:c r="P798" s="17"/>
      <x:c r="Q798" s="17" t="str">
        <x:f>IF(COUNT(L798:P798)&lt;5,"",ROUND((L798*25+M798*20+N798*20+O798*20+P798*15)/5,1))</x:f>
      </x:c>
      <x:c r="R798" s="18" t="str"/>
      <x:c r="S798" s="18" t="str"/>
      <x:c r="T798" s="17" t="str"/>
      <x:c r="U798" s="19"/>
    </x:row>
    <x:row r="799">
      <x:c r="A799" s="17" t="str">
        <x:v>MTS-0798</x:v>
      </x:c>
      <x:c r="B799" s="17" t="str">
        <x:v>Construction Debris Estimator</x:v>
      </x:c>
      <x:c r="C799" s="17" t="str">
        <x:v>Waste and Recycling</x:v>
      </x:c>
      <x:c r="D799" s="17" t="str">
        <x:v>Mobile + SaaS</x:v>
      </x:c>
      <x:c r="E799" s="17" t="str">
        <x:v>Facilities and haulers</x:v>
      </x:c>
      <x:c r="F799" s="18" t="str">
        <x:v>Construction Debris Estimator provides a focused waste and recycling workflow for facilities and haulers.</x:v>
      </x:c>
      <x:c r="G799" s="18" t="str">
        <x:v>Tracking, Scheduling, Reports, Inventory</x:v>
      </x:c>
      <x:c r="H799" s="17" t="str">
        <x:v>Subscription</x:v>
      </x:c>
      <x:c r="I799" s="17" t="str">
        <x:v>Medium</x:v>
      </x:c>
      <x:c r="J799" s="17" t="str">
        <x:v>New candidate</x:v>
      </x:c>
      <x:c r="K799" s="17" t="str">
        <x:v>Unreviewed</x:v>
      </x:c>
      <x:c r="L799" s="17"/>
      <x:c r="M799" s="17"/>
      <x:c r="N799" s="17"/>
      <x:c r="O799" s="17"/>
      <x:c r="P799" s="17"/>
      <x:c r="Q799" s="17" t="str">
        <x:f>IF(COUNT(L799:P799)&lt;5,"",ROUND((L799*25+M799*20+N799*20+O799*20+P799*15)/5,1))</x:f>
      </x:c>
      <x:c r="R799" s="18" t="str"/>
      <x:c r="S799" s="18" t="str"/>
      <x:c r="T799" s="17" t="str"/>
      <x:c r="U799" s="19"/>
    </x:row>
    <x:row r="800">
      <x:c r="A800" s="17" t="str">
        <x:v>MTS-0799</x:v>
      </x:c>
      <x:c r="B800" s="17" t="str">
        <x:v>Donation Diversion Tracker</x:v>
      </x:c>
      <x:c r="C800" s="17" t="str">
        <x:v>Waste and Recycling</x:v>
      </x:c>
      <x:c r="D800" s="17" t="str">
        <x:v>Mobile + SaaS</x:v>
      </x:c>
      <x:c r="E800" s="17" t="str">
        <x:v>Facilities and haulers</x:v>
      </x:c>
      <x:c r="F800" s="18" t="str">
        <x:v>Donation Diversion Tracker provides a focused waste and recycling workflow for facilities and haulers.</x:v>
      </x:c>
      <x:c r="G800" s="18" t="str">
        <x:v>Tracking, Scheduling, Reports, Inventory</x:v>
      </x:c>
      <x:c r="H800" s="17" t="str">
        <x:v>Subscription</x:v>
      </x:c>
      <x:c r="I800" s="17" t="str">
        <x:v>Medium</x:v>
      </x:c>
      <x:c r="J800" s="17" t="str">
        <x:v>New candidate</x:v>
      </x:c>
      <x:c r="K800" s="17" t="str">
        <x:v>Unreviewed</x:v>
      </x:c>
      <x:c r="L800" s="17"/>
      <x:c r="M800" s="17"/>
      <x:c r="N800" s="17"/>
      <x:c r="O800" s="17"/>
      <x:c r="P800" s="17"/>
      <x:c r="Q800" s="17" t="str">
        <x:f>IF(COUNT(L800:P800)&lt;5,"",ROUND((L800*25+M800*20+N800*20+O800*20+P800*15)/5,1))</x:f>
      </x:c>
      <x:c r="R800" s="18" t="str"/>
      <x:c r="S800" s="18" t="str"/>
      <x:c r="T800" s="17" t="str"/>
      <x:c r="U800" s="19"/>
    </x:row>
    <x:row r="801">
      <x:c r="A801" s="17" t="str">
        <x:v>MTS-0800</x:v>
      </x:c>
      <x:c r="B801" s="17" t="str">
        <x:v>Compost Batch Log</x:v>
      </x:c>
      <x:c r="C801" s="17" t="str">
        <x:v>Waste and Recycling</x:v>
      </x:c>
      <x:c r="D801" s="17" t="str">
        <x:v>Mobile + SaaS</x:v>
      </x:c>
      <x:c r="E801" s="17" t="str">
        <x:v>Facilities and haulers</x:v>
      </x:c>
      <x:c r="F801" s="18" t="str">
        <x:v>Compost Batch Log provides a focused waste and recycling workflow for facilities and haulers.</x:v>
      </x:c>
      <x:c r="G801" s="18" t="str">
        <x:v>Tracking, Scheduling, Reports, Inventory</x:v>
      </x:c>
      <x:c r="H801" s="17" t="str">
        <x:v>Subscription</x:v>
      </x:c>
      <x:c r="I801" s="17" t="str">
        <x:v>Medium</x:v>
      </x:c>
      <x:c r="J801" s="17" t="str">
        <x:v>New candidate</x:v>
      </x:c>
      <x:c r="K801" s="17" t="str">
        <x:v>Unreviewed</x:v>
      </x:c>
      <x:c r="L801" s="17"/>
      <x:c r="M801" s="17"/>
      <x:c r="N801" s="17"/>
      <x:c r="O801" s="17"/>
      <x:c r="P801" s="17"/>
      <x:c r="Q801" s="17" t="str">
        <x:f>IF(COUNT(L801:P801)&lt;5,"",ROUND((L801*25+M801*20+N801*20+O801*20+P801*15)/5,1))</x:f>
      </x:c>
      <x:c r="R801" s="18" t="str"/>
      <x:c r="S801" s="18" t="str"/>
      <x:c r="T801" s="17" t="str"/>
      <x:c r="U801" s="19"/>
    </x:row>
    <x:row r="802">
      <x:c r="A802" s="17" t="str">
        <x:v>MTS-0801</x:v>
      </x:c>
      <x:c r="B802" s="17" t="str">
        <x:v>Bin Location Mapper</x:v>
      </x:c>
      <x:c r="C802" s="17" t="str">
        <x:v>Waste and Recycling</x:v>
      </x:c>
      <x:c r="D802" s="17" t="str">
        <x:v>Mobile + SaaS</x:v>
      </x:c>
      <x:c r="E802" s="17" t="str">
        <x:v>Facilities and haulers</x:v>
      </x:c>
      <x:c r="F802" s="18" t="str">
        <x:v>Bin Location Mapper provides a focused waste and recycling workflow for facilities and haulers.</x:v>
      </x:c>
      <x:c r="G802" s="18" t="str">
        <x:v>Tracking, Scheduling, Reports, Inventory</x:v>
      </x:c>
      <x:c r="H802" s="17" t="str">
        <x:v>Subscription</x:v>
      </x:c>
      <x:c r="I802" s="17" t="str">
        <x:v>Medium</x:v>
      </x:c>
      <x:c r="J802" s="17" t="str">
        <x:v>New candidate</x:v>
      </x:c>
      <x:c r="K802" s="17" t="str">
        <x:v>Unreviewed</x:v>
      </x:c>
      <x:c r="L802" s="17"/>
      <x:c r="M802" s="17"/>
      <x:c r="N802" s="17"/>
      <x:c r="O802" s="17"/>
      <x:c r="P802" s="17"/>
      <x:c r="Q802" s="17" t="str">
        <x:f>IF(COUNT(L802:P802)&lt;5,"",ROUND((L802*25+M802*20+N802*20+O802*20+P802*15)/5,1))</x:f>
      </x:c>
      <x:c r="R802" s="18" t="str"/>
      <x:c r="S802" s="18" t="str"/>
      <x:c r="T802" s="17" t="str"/>
      <x:c r="U802" s="19"/>
    </x:row>
    <x:row r="803">
      <x:c r="A803" s="17" t="str">
        <x:v>MTS-0802</x:v>
      </x:c>
      <x:c r="B803" s="17" t="str">
        <x:v>Waste Vendor Comparison</x:v>
      </x:c>
      <x:c r="C803" s="17" t="str">
        <x:v>Waste and Recycling</x:v>
      </x:c>
      <x:c r="D803" s="17" t="str">
        <x:v>Mobile + SaaS</x:v>
      </x:c>
      <x:c r="E803" s="17" t="str">
        <x:v>Facilities and haulers</x:v>
      </x:c>
      <x:c r="F803" s="18" t="str">
        <x:v>Waste Vendor Comparison provides a focused waste and recycling workflow for facilities and haulers.</x:v>
      </x:c>
      <x:c r="G803" s="18" t="str">
        <x:v>Tracking, Scheduling, Reports, Inventory</x:v>
      </x:c>
      <x:c r="H803" s="17" t="str">
        <x:v>Subscription</x:v>
      </x:c>
      <x:c r="I803" s="17" t="str">
        <x:v>Medium</x:v>
      </x:c>
      <x:c r="J803" s="17" t="str">
        <x:v>New candidate</x:v>
      </x:c>
      <x:c r="K803" s="17" t="str">
        <x:v>Unreviewed</x:v>
      </x:c>
      <x:c r="L803" s="17"/>
      <x:c r="M803" s="17"/>
      <x:c r="N803" s="17"/>
      <x:c r="O803" s="17"/>
      <x:c r="P803" s="17"/>
      <x:c r="Q803" s="17" t="str">
        <x:f>IF(COUNT(L803:P803)&lt;5,"",ROUND((L803*25+M803*20+N803*20+O803*20+P803*15)/5,1))</x:f>
      </x:c>
      <x:c r="R803" s="18" t="str"/>
      <x:c r="S803" s="18" t="str"/>
      <x:c r="T803" s="17" t="str"/>
      <x:c r="U803" s="19"/>
    </x:row>
    <x:row r="804">
      <x:c r="A804" s="17" t="str">
        <x:v>MTS-0803</x:v>
      </x:c>
      <x:c r="B804" s="17" t="str">
        <x:v>Cleanup Event Waste Log</x:v>
      </x:c>
      <x:c r="C804" s="17" t="str">
        <x:v>Waste and Recycling</x:v>
      </x:c>
      <x:c r="D804" s="17" t="str">
        <x:v>Mobile + SaaS</x:v>
      </x:c>
      <x:c r="E804" s="17" t="str">
        <x:v>Facilities and haulers</x:v>
      </x:c>
      <x:c r="F804" s="18" t="str">
        <x:v>Cleanup Event Waste Log provides a focused waste and recycling workflow for facilities and haulers.</x:v>
      </x:c>
      <x:c r="G804" s="18" t="str">
        <x:v>Tracking, Scheduling, Reports, Inventory</x:v>
      </x:c>
      <x:c r="H804" s="17" t="str">
        <x:v>Subscription</x:v>
      </x:c>
      <x:c r="I804" s="17" t="str">
        <x:v>Medium</x:v>
      </x:c>
      <x:c r="J804" s="17" t="str">
        <x:v>New candidate</x:v>
      </x:c>
      <x:c r="K804" s="17" t="str">
        <x:v>Unreviewed</x:v>
      </x:c>
      <x:c r="L804" s="17"/>
      <x:c r="M804" s="17"/>
      <x:c r="N804" s="17"/>
      <x:c r="O804" s="17"/>
      <x:c r="P804" s="17"/>
      <x:c r="Q804" s="17" t="str">
        <x:f>IF(COUNT(L804:P804)&lt;5,"",ROUND((L804*25+M804*20+N804*20+O804*20+P804*15)/5,1))</x:f>
      </x:c>
      <x:c r="R804" s="18" t="str"/>
      <x:c r="S804" s="18" t="str"/>
      <x:c r="T804" s="17" t="str"/>
      <x:c r="U804" s="19"/>
    </x:row>
    <x:row r="805">
      <x:c r="A805" s="17" t="str">
        <x:v>MTS-0804</x:v>
      </x:c>
      <x:c r="B805" s="17" t="str">
        <x:v>Facility Diversion Dashboard</x:v>
      </x:c>
      <x:c r="C805" s="17" t="str">
        <x:v>Waste and Recycling</x:v>
      </x:c>
      <x:c r="D805" s="17" t="str">
        <x:v>Mobile + SaaS</x:v>
      </x:c>
      <x:c r="E805" s="17" t="str">
        <x:v>Facilities and haulers</x:v>
      </x:c>
      <x:c r="F805" s="18" t="str">
        <x:v>Facility Diversion Dashboard provides a focused waste and recycling workflow for facilities and haulers.</x:v>
      </x:c>
      <x:c r="G805" s="18" t="str">
        <x:v>Tracking, Scheduling, Reports, Inventory</x:v>
      </x:c>
      <x:c r="H805" s="17" t="str">
        <x:v>Subscription</x:v>
      </x:c>
      <x:c r="I805" s="17" t="str">
        <x:v>Medium</x:v>
      </x:c>
      <x:c r="J805" s="17" t="str">
        <x:v>New candidate</x:v>
      </x:c>
      <x:c r="K805" s="17" t="str">
        <x:v>Unreviewed</x:v>
      </x:c>
      <x:c r="L805" s="17"/>
      <x:c r="M805" s="17"/>
      <x:c r="N805" s="17"/>
      <x:c r="O805" s="17"/>
      <x:c r="P805" s="17"/>
      <x:c r="Q805" s="17" t="str">
        <x:f>IF(COUNT(L805:P805)&lt;5,"",ROUND((L805*25+M805*20+N805*20+O805*20+P805*15)/5,1))</x:f>
      </x:c>
      <x:c r="R805" s="18" t="str"/>
      <x:c r="S805" s="18" t="str"/>
      <x:c r="T805" s="17" t="str"/>
      <x:c r="U805" s="19"/>
    </x:row>
    <x:row r="806">
      <x:c r="A806" s="17" t="str">
        <x:v>MTS-0805</x:v>
      </x:c>
      <x:c r="B806" s="17" t="str">
        <x:v>Insurance Home Inventory</x:v>
      </x:c>
      <x:c r="C806" s="17" t="str">
        <x:v>Insurance Documentation</x:v>
      </x:c>
      <x:c r="D806" s="17" t="str">
        <x:v>Mobile App</x:v>
      </x:c>
      <x:c r="E806" s="17" t="str">
        <x:v>Consumers and businesses</x:v>
      </x:c>
      <x:c r="F806" s="18" t="str">
        <x:v>Insurance Home Inventory provides a focused insurance documentation workflow for consumers and businesses.</x:v>
      </x:c>
      <x:c r="G806" s="18" t="str">
        <x:v>Camera, Inventory, Timeline, Export</x:v>
      </x:c>
      <x:c r="H806" s="17" t="str">
        <x:v>Paid + Pro</x:v>
      </x:c>
      <x:c r="I806" s="17" t="str">
        <x:v>Medium</x:v>
      </x:c>
      <x:c r="J806" s="17" t="str">
        <x:v>New candidate</x:v>
      </x:c>
      <x:c r="K806" s="17" t="str">
        <x:v>Unreviewed</x:v>
      </x:c>
      <x:c r="L806" s="17"/>
      <x:c r="M806" s="17"/>
      <x:c r="N806" s="17"/>
      <x:c r="O806" s="17"/>
      <x:c r="P806" s="17"/>
      <x:c r="Q806" s="17" t="str">
        <x:f>IF(COUNT(L806:P806)&lt;5,"",ROUND((L806*25+M806*20+N806*20+O806*20+P806*15)/5,1))</x:f>
      </x:c>
      <x:c r="R806" s="18" t="str"/>
      <x:c r="S806" s="18" t="str"/>
      <x:c r="T806" s="17" t="str"/>
      <x:c r="U806" s="19"/>
    </x:row>
    <x:row r="807">
      <x:c r="A807" s="17" t="str">
        <x:v>MTS-0806</x:v>
      </x:c>
      <x:c r="B807" s="17" t="str">
        <x:v>Vehicle Accident Evidence</x:v>
      </x:c>
      <x:c r="C807" s="17" t="str">
        <x:v>Insurance Documentation</x:v>
      </x:c>
      <x:c r="D807" s="17" t="str">
        <x:v>Mobile App</x:v>
      </x:c>
      <x:c r="E807" s="17" t="str">
        <x:v>Consumers and businesses</x:v>
      </x:c>
      <x:c r="F807" s="18" t="str">
        <x:v>Vehicle Accident Evidence provides a focused insurance documentation workflow for consumers and businesses.</x:v>
      </x:c>
      <x:c r="G807" s="18" t="str">
        <x:v>Camera, Inventory, Timeline, Export</x:v>
      </x:c>
      <x:c r="H807" s="17" t="str">
        <x:v>Paid + Pro</x:v>
      </x:c>
      <x:c r="I807" s="17" t="str">
        <x:v>Medium</x:v>
      </x:c>
      <x:c r="J807" s="17" t="str">
        <x:v>New candidate</x:v>
      </x:c>
      <x:c r="K807" s="17" t="str">
        <x:v>Unreviewed</x:v>
      </x:c>
      <x:c r="L807" s="17"/>
      <x:c r="M807" s="17"/>
      <x:c r="N807" s="17"/>
      <x:c r="O807" s="17"/>
      <x:c r="P807" s="17"/>
      <x:c r="Q807" s="17" t="str">
        <x:f>IF(COUNT(L807:P807)&lt;5,"",ROUND((L807*25+M807*20+N807*20+O807*20+P807*15)/5,1))</x:f>
      </x:c>
      <x:c r="R807" s="18" t="str"/>
      <x:c r="S807" s="18" t="str"/>
      <x:c r="T807" s="17" t="str"/>
      <x:c r="U807" s="19"/>
    </x:row>
    <x:row r="808">
      <x:c r="A808" s="17" t="str">
        <x:v>MTS-0807</x:v>
      </x:c>
      <x:c r="B808" s="17" t="str">
        <x:v>Property Damage Timeline</x:v>
      </x:c>
      <x:c r="C808" s="17" t="str">
        <x:v>Insurance Documentation</x:v>
      </x:c>
      <x:c r="D808" s="17" t="str">
        <x:v>Mobile App</x:v>
      </x:c>
      <x:c r="E808" s="17" t="str">
        <x:v>Consumers and businesses</x:v>
      </x:c>
      <x:c r="F808" s="18" t="str">
        <x:v>Property Damage Timeline provides a focused insurance documentation workflow for consumers and businesses.</x:v>
      </x:c>
      <x:c r="G808" s="18" t="str">
        <x:v>Camera, Inventory, Timeline, Export</x:v>
      </x:c>
      <x:c r="H808" s="17" t="str">
        <x:v>Paid + Pro</x:v>
      </x:c>
      <x:c r="I808" s="17" t="str">
        <x:v>Medium</x:v>
      </x:c>
      <x:c r="J808" s="17" t="str">
        <x:v>New candidate</x:v>
      </x:c>
      <x:c r="K808" s="17" t="str">
        <x:v>Unreviewed</x:v>
      </x:c>
      <x:c r="L808" s="17"/>
      <x:c r="M808" s="17"/>
      <x:c r="N808" s="17"/>
      <x:c r="O808" s="17"/>
      <x:c r="P808" s="17"/>
      <x:c r="Q808" s="17" t="str">
        <x:f>IF(COUNT(L808:P808)&lt;5,"",ROUND((L808*25+M808*20+N808*20+O808*20+P808*15)/5,1))</x:f>
      </x:c>
      <x:c r="R808" s="18" t="str"/>
      <x:c r="S808" s="18" t="str"/>
      <x:c r="T808" s="17" t="str"/>
      <x:c r="U808" s="19"/>
    </x:row>
    <x:row r="809">
      <x:c r="A809" s="17" t="str">
        <x:v>MTS-0808</x:v>
      </x:c>
      <x:c r="B809" s="17" t="str">
        <x:v>Storm Damage Reporter</x:v>
      </x:c>
      <x:c r="C809" s="17" t="str">
        <x:v>Insurance Documentation</x:v>
      </x:c>
      <x:c r="D809" s="17" t="str">
        <x:v>Mobile App</x:v>
      </x:c>
      <x:c r="E809" s="17" t="str">
        <x:v>Consumers and businesses</x:v>
      </x:c>
      <x:c r="F809" s="18" t="str">
        <x:v>Storm Damage Reporter provides a focused insurance documentation workflow for consumers and businesses.</x:v>
      </x:c>
      <x:c r="G809" s="18" t="str">
        <x:v>Camera, Inventory, Timeline, Export</x:v>
      </x:c>
      <x:c r="H809" s="17" t="str">
        <x:v>Paid + Pro</x:v>
      </x:c>
      <x:c r="I809" s="17" t="str">
        <x:v>Medium</x:v>
      </x:c>
      <x:c r="J809" s="17" t="str">
        <x:v>New candidate</x:v>
      </x:c>
      <x:c r="K809" s="17" t="str">
        <x:v>Unreviewed</x:v>
      </x:c>
      <x:c r="L809" s="17"/>
      <x:c r="M809" s="17"/>
      <x:c r="N809" s="17"/>
      <x:c r="O809" s="17"/>
      <x:c r="P809" s="17"/>
      <x:c r="Q809" s="17" t="str">
        <x:f>IF(COUNT(L809:P809)&lt;5,"",ROUND((L809*25+M809*20+N809*20+O809*20+P809*15)/5,1))</x:f>
      </x:c>
      <x:c r="R809" s="18" t="str"/>
      <x:c r="S809" s="18" t="str"/>
      <x:c r="T809" s="17" t="str"/>
      <x:c r="U809" s="19"/>
    </x:row>
    <x:row r="810">
      <x:c r="A810" s="17" t="str">
        <x:v>MTS-0809</x:v>
      </x:c>
      <x:c r="B810" s="17" t="str">
        <x:v>Business Asset Evidence</x:v>
      </x:c>
      <x:c r="C810" s="17" t="str">
        <x:v>Insurance Documentation</x:v>
      </x:c>
      <x:c r="D810" s="17" t="str">
        <x:v>Mobile App</x:v>
      </x:c>
      <x:c r="E810" s="17" t="str">
        <x:v>Consumers and businesses</x:v>
      </x:c>
      <x:c r="F810" s="18" t="str">
        <x:v>Business Asset Evidence provides a focused insurance documentation workflow for consumers and businesses.</x:v>
      </x:c>
      <x:c r="G810" s="18" t="str">
        <x:v>Camera, Inventory, Timeline, Export</x:v>
      </x:c>
      <x:c r="H810" s="17" t="str">
        <x:v>Paid + Pro</x:v>
      </x:c>
      <x:c r="I810" s="17" t="str">
        <x:v>Medium</x:v>
      </x:c>
      <x:c r="J810" s="17" t="str">
        <x:v>New candidate</x:v>
      </x:c>
      <x:c r="K810" s="17" t="str">
        <x:v>Unreviewed</x:v>
      </x:c>
      <x:c r="L810" s="17"/>
      <x:c r="M810" s="17"/>
      <x:c r="N810" s="17"/>
      <x:c r="O810" s="17"/>
      <x:c r="P810" s="17"/>
      <x:c r="Q810" s="17" t="str">
        <x:f>IF(COUNT(L810:P810)&lt;5,"",ROUND((L810*25+M810*20+N810*20+O810*20+P810*15)/5,1))</x:f>
      </x:c>
      <x:c r="R810" s="18" t="str"/>
      <x:c r="S810" s="18" t="str"/>
      <x:c r="T810" s="17" t="str"/>
      <x:c r="U810" s="19"/>
    </x:row>
    <x:row r="811">
      <x:c r="A811" s="17" t="str">
        <x:v>MTS-0810</x:v>
      </x:c>
      <x:c r="B811" s="17" t="str">
        <x:v>Theft Loss Inventory</x:v>
      </x:c>
      <x:c r="C811" s="17" t="str">
        <x:v>Insurance Documentation</x:v>
      </x:c>
      <x:c r="D811" s="17" t="str">
        <x:v>Mobile App</x:v>
      </x:c>
      <x:c r="E811" s="17" t="str">
        <x:v>Consumers and businesses</x:v>
      </x:c>
      <x:c r="F811" s="18" t="str">
        <x:v>Theft Loss Inventory provides a focused insurance documentation workflow for consumers and businesses.</x:v>
      </x:c>
      <x:c r="G811" s="18" t="str">
        <x:v>Camera, Inventory, Timeline, Export</x:v>
      </x:c>
      <x:c r="H811" s="17" t="str">
        <x:v>Paid + Pro</x:v>
      </x:c>
      <x:c r="I811" s="17" t="str">
        <x:v>Medium</x:v>
      </x:c>
      <x:c r="J811" s="17" t="str">
        <x:v>New candidate</x:v>
      </x:c>
      <x:c r="K811" s="17" t="str">
        <x:v>Unreviewed</x:v>
      </x:c>
      <x:c r="L811" s="17"/>
      <x:c r="M811" s="17"/>
      <x:c r="N811" s="17"/>
      <x:c r="O811" s="17"/>
      <x:c r="P811" s="17"/>
      <x:c r="Q811" s="17" t="str">
        <x:f>IF(COUNT(L811:P811)&lt;5,"",ROUND((L811*25+M811*20+N811*20+O811*20+P811*15)/5,1))</x:f>
      </x:c>
      <x:c r="R811" s="18" t="str"/>
      <x:c r="S811" s="18" t="str"/>
      <x:c r="T811" s="17" t="str"/>
      <x:c r="U811" s="19"/>
    </x:row>
    <x:row r="812">
      <x:c r="A812" s="17" t="str">
        <x:v>MTS-0811</x:v>
      </x:c>
      <x:c r="B812" s="17" t="str">
        <x:v>Water Damage Documentation</x:v>
      </x:c>
      <x:c r="C812" s="17" t="str">
        <x:v>Insurance Documentation</x:v>
      </x:c>
      <x:c r="D812" s="17" t="str">
        <x:v>Mobile App</x:v>
      </x:c>
      <x:c r="E812" s="17" t="str">
        <x:v>Consumers and businesses</x:v>
      </x:c>
      <x:c r="F812" s="18" t="str">
        <x:v>Water Damage Documentation provides a focused insurance documentation workflow for consumers and businesses.</x:v>
      </x:c>
      <x:c r="G812" s="18" t="str">
        <x:v>Camera, Inventory, Timeline, Export</x:v>
      </x:c>
      <x:c r="H812" s="17" t="str">
        <x:v>Paid + Pro</x:v>
      </x:c>
      <x:c r="I812" s="17" t="str">
        <x:v>Medium</x:v>
      </x:c>
      <x:c r="J812" s="17" t="str">
        <x:v>New candidate</x:v>
      </x:c>
      <x:c r="K812" s="17" t="str">
        <x:v>Unreviewed</x:v>
      </x:c>
      <x:c r="L812" s="17"/>
      <x:c r="M812" s="17"/>
      <x:c r="N812" s="17"/>
      <x:c r="O812" s="17"/>
      <x:c r="P812" s="17"/>
      <x:c r="Q812" s="17" t="str">
        <x:f>IF(COUNT(L812:P812)&lt;5,"",ROUND((L812*25+M812*20+N812*20+O812*20+P812*15)/5,1))</x:f>
      </x:c>
      <x:c r="R812" s="18" t="str"/>
      <x:c r="S812" s="18" t="str"/>
      <x:c r="T812" s="17" t="str"/>
      <x:c r="U812" s="19"/>
    </x:row>
    <x:row r="813">
      <x:c r="A813" s="17" t="str">
        <x:v>MTS-0812</x:v>
      </x:c>
      <x:c r="B813" s="17" t="str">
        <x:v>Fire Damage Documentation</x:v>
      </x:c>
      <x:c r="C813" s="17" t="str">
        <x:v>Insurance Documentation</x:v>
      </x:c>
      <x:c r="D813" s="17" t="str">
        <x:v>Mobile App</x:v>
      </x:c>
      <x:c r="E813" s="17" t="str">
        <x:v>Consumers and businesses</x:v>
      </x:c>
      <x:c r="F813" s="18" t="str">
        <x:v>Fire Damage Documentation provides a focused insurance documentation workflow for consumers and businesses.</x:v>
      </x:c>
      <x:c r="G813" s="18" t="str">
        <x:v>Camera, Inventory, Timeline, Export</x:v>
      </x:c>
      <x:c r="H813" s="17" t="str">
        <x:v>Paid + Pro</x:v>
      </x:c>
      <x:c r="I813" s="17" t="str">
        <x:v>Medium</x:v>
      </x:c>
      <x:c r="J813" s="17" t="str">
        <x:v>New candidate</x:v>
      </x:c>
      <x:c r="K813" s="17" t="str">
        <x:v>Unreviewed</x:v>
      </x:c>
      <x:c r="L813" s="17"/>
      <x:c r="M813" s="17"/>
      <x:c r="N813" s="17"/>
      <x:c r="O813" s="17"/>
      <x:c r="P813" s="17"/>
      <x:c r="Q813" s="17" t="str">
        <x:f>IF(COUNT(L813:P813)&lt;5,"",ROUND((L813*25+M813*20+N813*20+O813*20+P813*15)/5,1))</x:f>
      </x:c>
      <x:c r="R813" s="18" t="str"/>
      <x:c r="S813" s="18" t="str"/>
      <x:c r="T813" s="17" t="str"/>
      <x:c r="U813" s="19"/>
    </x:row>
    <x:row r="814">
      <x:c r="A814" s="17" t="str">
        <x:v>MTS-0813</x:v>
      </x:c>
      <x:c r="B814" s="17" t="str">
        <x:v>Travel Claim Organizer</x:v>
      </x:c>
      <x:c r="C814" s="17" t="str">
        <x:v>Insurance Documentation</x:v>
      </x:c>
      <x:c r="D814" s="17" t="str">
        <x:v>Mobile App</x:v>
      </x:c>
      <x:c r="E814" s="17" t="str">
        <x:v>Consumers and businesses</x:v>
      </x:c>
      <x:c r="F814" s="18" t="str">
        <x:v>Travel Claim Organizer provides a focused insurance documentation workflow for consumers and businesses.</x:v>
      </x:c>
      <x:c r="G814" s="18" t="str">
        <x:v>Camera, Inventory, Timeline, Export</x:v>
      </x:c>
      <x:c r="H814" s="17" t="str">
        <x:v>Paid + Pro</x:v>
      </x:c>
      <x:c r="I814" s="17" t="str">
        <x:v>Medium</x:v>
      </x:c>
      <x:c r="J814" s="17" t="str">
        <x:v>New candidate</x:v>
      </x:c>
      <x:c r="K814" s="17" t="str">
        <x:v>Unreviewed</x:v>
      </x:c>
      <x:c r="L814" s="17"/>
      <x:c r="M814" s="17"/>
      <x:c r="N814" s="17"/>
      <x:c r="O814" s="17"/>
      <x:c r="P814" s="17"/>
      <x:c r="Q814" s="17" t="str">
        <x:f>IF(COUNT(L814:P814)&lt;5,"",ROUND((L814*25+M814*20+N814*20+O814*20+P814*15)/5,1))</x:f>
      </x:c>
      <x:c r="R814" s="18" t="str"/>
      <x:c r="S814" s="18" t="str"/>
      <x:c r="T814" s="17" t="str"/>
      <x:c r="U814" s="19"/>
    </x:row>
    <x:row r="815">
      <x:c r="A815" s="17" t="str">
        <x:v>MTS-0814</x:v>
      </x:c>
      <x:c r="B815" s="17" t="str">
        <x:v>Warranty Claim Builder</x:v>
      </x:c>
      <x:c r="C815" s="17" t="str">
        <x:v>Insurance Documentation</x:v>
      </x:c>
      <x:c r="D815" s="17" t="str">
        <x:v>Mobile App</x:v>
      </x:c>
      <x:c r="E815" s="17" t="str">
        <x:v>Consumers and businesses</x:v>
      </x:c>
      <x:c r="F815" s="18" t="str">
        <x:v>Warranty Claim Builder provides a focused insurance documentation workflow for consumers and businesses.</x:v>
      </x:c>
      <x:c r="G815" s="18" t="str">
        <x:v>Camera, Inventory, Timeline, Export</x:v>
      </x:c>
      <x:c r="H815" s="17" t="str">
        <x:v>Paid + Pro</x:v>
      </x:c>
      <x:c r="I815" s="17" t="str">
        <x:v>Medium</x:v>
      </x:c>
      <x:c r="J815" s="17" t="str">
        <x:v>New candidate</x:v>
      </x:c>
      <x:c r="K815" s="17" t="str">
        <x:v>Unreviewed</x:v>
      </x:c>
      <x:c r="L815" s="17"/>
      <x:c r="M815" s="17"/>
      <x:c r="N815" s="17"/>
      <x:c r="O815" s="17"/>
      <x:c r="P815" s="17"/>
      <x:c r="Q815" s="17" t="str">
        <x:f>IF(COUNT(L815:P815)&lt;5,"",ROUND((L815*25+M815*20+N815*20+O815*20+P815*15)/5,1))</x:f>
      </x:c>
      <x:c r="R815" s="18" t="str"/>
      <x:c r="S815" s="18" t="str"/>
      <x:c r="T815" s="17" t="str"/>
      <x:c r="U815" s="19"/>
    </x:row>
    <x:row r="816">
      <x:c r="A816" s="17" t="str">
        <x:v>MTS-0815</x:v>
      </x:c>
      <x:c r="B816" s="17" t="str">
        <x:v>Contractor Repair Evidence</x:v>
      </x:c>
      <x:c r="C816" s="17" t="str">
        <x:v>Insurance Documentation</x:v>
      </x:c>
      <x:c r="D816" s="17" t="str">
        <x:v>Mobile App</x:v>
      </x:c>
      <x:c r="E816" s="17" t="str">
        <x:v>Consumers and businesses</x:v>
      </x:c>
      <x:c r="F816" s="18" t="str">
        <x:v>Contractor Repair Evidence provides a focused insurance documentation workflow for consumers and businesses.</x:v>
      </x:c>
      <x:c r="G816" s="18" t="str">
        <x:v>Camera, Inventory, Timeline, Export</x:v>
      </x:c>
      <x:c r="H816" s="17" t="str">
        <x:v>Paid + Pro</x:v>
      </x:c>
      <x:c r="I816" s="17" t="str">
        <x:v>Medium</x:v>
      </x:c>
      <x:c r="J816" s="17" t="str">
        <x:v>New candidate</x:v>
      </x:c>
      <x:c r="K816" s="17" t="str">
        <x:v>Unreviewed</x:v>
      </x:c>
      <x:c r="L816" s="17"/>
      <x:c r="M816" s="17"/>
      <x:c r="N816" s="17"/>
      <x:c r="O816" s="17"/>
      <x:c r="P816" s="17"/>
      <x:c r="Q816" s="17" t="str">
        <x:f>IF(COUNT(L816:P816)&lt;5,"",ROUND((L816*25+M816*20+N816*20+O816*20+P816*15)/5,1))</x:f>
      </x:c>
      <x:c r="R816" s="18" t="str"/>
      <x:c r="S816" s="18" t="str"/>
      <x:c r="T816" s="17" t="str"/>
      <x:c r="U816" s="19"/>
    </x:row>
    <x:row r="817">
      <x:c r="A817" s="17" t="str">
        <x:v>MTS-0816</x:v>
      </x:c>
      <x:c r="B817" s="17" t="str">
        <x:v>Insurance Renewal Checklist</x:v>
      </x:c>
      <x:c r="C817" s="17" t="str">
        <x:v>Insurance Documentation</x:v>
      </x:c>
      <x:c r="D817" s="17" t="str">
        <x:v>Mobile App</x:v>
      </x:c>
      <x:c r="E817" s="17" t="str">
        <x:v>Consumers and businesses</x:v>
      </x:c>
      <x:c r="F817" s="18" t="str">
        <x:v>Insurance Renewal Checklist provides a focused insurance documentation workflow for consumers and businesses.</x:v>
      </x:c>
      <x:c r="G817" s="18" t="str">
        <x:v>Camera, Inventory, Timeline, Export</x:v>
      </x:c>
      <x:c r="H817" s="17" t="str">
        <x:v>Paid + Pro</x:v>
      </x:c>
      <x:c r="I817" s="17" t="str">
        <x:v>Medium</x:v>
      </x:c>
      <x:c r="J817" s="17" t="str">
        <x:v>New candidate</x:v>
      </x:c>
      <x:c r="K817" s="17" t="str">
        <x:v>Unreviewed</x:v>
      </x:c>
      <x:c r="L817" s="17"/>
      <x:c r="M817" s="17"/>
      <x:c r="N817" s="17"/>
      <x:c r="O817" s="17"/>
      <x:c r="P817" s="17"/>
      <x:c r="Q817" s="17" t="str">
        <x:f>IF(COUNT(L817:P817)&lt;5,"",ROUND((L817*25+M817*20+N817*20+O817*20+P817*15)/5,1))</x:f>
      </x:c>
      <x:c r="R817" s="18" t="str"/>
      <x:c r="S817" s="18" t="str"/>
      <x:c r="T817" s="17" t="str"/>
      <x:c r="U817" s="19"/>
    </x:row>
    <x:row r="818">
      <x:c r="A818" s="17" t="str">
        <x:v>MTS-0817</x:v>
      </x:c>
      <x:c r="B818" s="17" t="str">
        <x:v>Professional License Tracker</x:v>
      </x:c>
      <x:c r="C818" s="17" t="str">
        <x:v>Licensing and Compliance</x:v>
      </x:c>
      <x:c r="D818" s="17" t="str">
        <x:v>Web + Mobile</x:v>
      </x:c>
      <x:c r="E818" s="17" t="str">
        <x:v>Licensed professionals</x:v>
      </x:c>
      <x:c r="F818" s="18" t="str">
        <x:v>Professional License Tracker provides a focused licensing and compliance workflow for licensed professionals.</x:v>
      </x:c>
      <x:c r="G818" s="18" t="str">
        <x:v>Renewals, Documents, Alerts, Reports</x:v>
      </x:c>
      <x:c r="H818" s="17" t="str">
        <x:v>Subscription</x:v>
      </x:c>
      <x:c r="I818" s="17" t="str">
        <x:v>Medium</x:v>
      </x:c>
      <x:c r="J818" s="17" t="str">
        <x:v>New candidate</x:v>
      </x:c>
      <x:c r="K818" s="17" t="str">
        <x:v>Unreviewed</x:v>
      </x:c>
      <x:c r="L818" s="17"/>
      <x:c r="M818" s="17"/>
      <x:c r="N818" s="17"/>
      <x:c r="O818" s="17"/>
      <x:c r="P818" s="17"/>
      <x:c r="Q818" s="17" t="str">
        <x:f>IF(COUNT(L818:P818)&lt;5,"",ROUND((L818*25+M818*20+N818*20+O818*20+P818*15)/5,1))</x:f>
      </x:c>
      <x:c r="R818" s="18" t="str"/>
      <x:c r="S818" s="18" t="str"/>
      <x:c r="T818" s="17" t="str"/>
      <x:c r="U818" s="19"/>
    </x:row>
    <x:row r="819">
      <x:c r="A819" s="17" t="str">
        <x:v>MTS-0818</x:v>
      </x:c>
      <x:c r="B819" s="17" t="str">
        <x:v>Business Permit Calendar</x:v>
      </x:c>
      <x:c r="C819" s="17" t="str">
        <x:v>Licensing and Compliance</x:v>
      </x:c>
      <x:c r="D819" s="17" t="str">
        <x:v>Web + Mobile</x:v>
      </x:c>
      <x:c r="E819" s="17" t="str">
        <x:v>Licensed professionals</x:v>
      </x:c>
      <x:c r="F819" s="18" t="str">
        <x:v>Business Permit Calendar provides a focused licensing and compliance workflow for licensed professionals.</x:v>
      </x:c>
      <x:c r="G819" s="18" t="str">
        <x:v>Renewals, Documents, Alerts, Reports</x:v>
      </x:c>
      <x:c r="H819" s="17" t="str">
        <x:v>Subscription</x:v>
      </x:c>
      <x:c r="I819" s="17" t="str">
        <x:v>Medium</x:v>
      </x:c>
      <x:c r="J819" s="17" t="str">
        <x:v>New candidate</x:v>
      </x:c>
      <x:c r="K819" s="17" t="str">
        <x:v>Unreviewed</x:v>
      </x:c>
      <x:c r="L819" s="17"/>
      <x:c r="M819" s="17"/>
      <x:c r="N819" s="17"/>
      <x:c r="O819" s="17"/>
      <x:c r="P819" s="17"/>
      <x:c r="Q819" s="17" t="str">
        <x:f>IF(COUNT(L819:P819)&lt;5,"",ROUND((L819*25+M819*20+N819*20+O819*20+P819*15)/5,1))</x:f>
      </x:c>
      <x:c r="R819" s="18" t="str"/>
      <x:c r="S819" s="18" t="str"/>
      <x:c r="T819" s="17" t="str"/>
      <x:c r="U819" s="19"/>
    </x:row>
    <x:row r="820">
      <x:c r="A820" s="17" t="str">
        <x:v>MTS-0819</x:v>
      </x:c>
      <x:c r="B820" s="17" t="str">
        <x:v>Contractor License Monitor</x:v>
      </x:c>
      <x:c r="C820" s="17" t="str">
        <x:v>Licensing and Compliance</x:v>
      </x:c>
      <x:c r="D820" s="17" t="str">
        <x:v>Web + Mobile</x:v>
      </x:c>
      <x:c r="E820" s="17" t="str">
        <x:v>Licensed professionals</x:v>
      </x:c>
      <x:c r="F820" s="18" t="str">
        <x:v>Contractor License Monitor provides a focused licensing and compliance workflow for licensed professionals.</x:v>
      </x:c>
      <x:c r="G820" s="18" t="str">
        <x:v>Renewals, Documents, Alerts, Reports</x:v>
      </x:c>
      <x:c r="H820" s="17" t="str">
        <x:v>Subscription</x:v>
      </x:c>
      <x:c r="I820" s="17" t="str">
        <x:v>Medium</x:v>
      </x:c>
      <x:c r="J820" s="17" t="str">
        <x:v>New candidate</x:v>
      </x:c>
      <x:c r="K820" s="17" t="str">
        <x:v>Unreviewed</x:v>
      </x:c>
      <x:c r="L820" s="17"/>
      <x:c r="M820" s="17"/>
      <x:c r="N820" s="17"/>
      <x:c r="O820" s="17"/>
      <x:c r="P820" s="17"/>
      <x:c r="Q820" s="17" t="str">
        <x:f>IF(COUNT(L820:P820)&lt;5,"",ROUND((L820*25+M820*20+N820*20+O820*20+P820*15)/5,1))</x:f>
      </x:c>
      <x:c r="R820" s="18" t="str"/>
      <x:c r="S820" s="18" t="str"/>
      <x:c r="T820" s="17" t="str"/>
      <x:c r="U820" s="19"/>
    </x:row>
    <x:row r="821">
      <x:c r="A821" s="17" t="str">
        <x:v>MTS-0820</x:v>
      </x:c>
      <x:c r="B821" s="17" t="str">
        <x:v>Employee Certification Tracker</x:v>
      </x:c>
      <x:c r="C821" s="17" t="str">
        <x:v>Licensing and Compliance</x:v>
      </x:c>
      <x:c r="D821" s="17" t="str">
        <x:v>Web + Mobile</x:v>
      </x:c>
      <x:c r="E821" s="17" t="str">
        <x:v>Licensed professionals</x:v>
      </x:c>
      <x:c r="F821" s="18" t="str">
        <x:v>Employee Certification Tracker provides a focused licensing and compliance workflow for licensed professionals.</x:v>
      </x:c>
      <x:c r="G821" s="18" t="str">
        <x:v>Renewals, Documents, Alerts, Reports</x:v>
      </x:c>
      <x:c r="H821" s="17" t="str">
        <x:v>Subscription</x:v>
      </x:c>
      <x:c r="I821" s="17" t="str">
        <x:v>Medium</x:v>
      </x:c>
      <x:c r="J821" s="17" t="str">
        <x:v>New candidate</x:v>
      </x:c>
      <x:c r="K821" s="17" t="str">
        <x:v>Unreviewed</x:v>
      </x:c>
      <x:c r="L821" s="17"/>
      <x:c r="M821" s="17"/>
      <x:c r="N821" s="17"/>
      <x:c r="O821" s="17"/>
      <x:c r="P821" s="17"/>
      <x:c r="Q821" s="17" t="str">
        <x:f>IF(COUNT(L821:P821)&lt;5,"",ROUND((L821*25+M821*20+N821*20+O821*20+P821*15)/5,1))</x:f>
      </x:c>
      <x:c r="R821" s="18" t="str"/>
      <x:c r="S821" s="18" t="str"/>
      <x:c r="T821" s="17" t="str"/>
      <x:c r="U821" s="19"/>
    </x:row>
    <x:row r="822">
      <x:c r="A822" s="17" t="str">
        <x:v>MTS-0821</x:v>
      </x:c>
      <x:c r="B822" s="17" t="str">
        <x:v>Vehicle Registration Board</x:v>
      </x:c>
      <x:c r="C822" s="17" t="str">
        <x:v>Licensing and Compliance</x:v>
      </x:c>
      <x:c r="D822" s="17" t="str">
        <x:v>Web + Mobile</x:v>
      </x:c>
      <x:c r="E822" s="17" t="str">
        <x:v>Licensed professionals</x:v>
      </x:c>
      <x:c r="F822" s="18" t="str">
        <x:v>Vehicle Registration Board provides a focused licensing and compliance workflow for licensed professionals.</x:v>
      </x:c>
      <x:c r="G822" s="18" t="str">
        <x:v>Renewals, Documents, Alerts, Reports</x:v>
      </x:c>
      <x:c r="H822" s="17" t="str">
        <x:v>Subscription</x:v>
      </x:c>
      <x:c r="I822" s="17" t="str">
        <x:v>Medium</x:v>
      </x:c>
      <x:c r="J822" s="17" t="str">
        <x:v>New candidate</x:v>
      </x:c>
      <x:c r="K822" s="17" t="str">
        <x:v>Unreviewed</x:v>
      </x:c>
      <x:c r="L822" s="17"/>
      <x:c r="M822" s="17"/>
      <x:c r="N822" s="17"/>
      <x:c r="O822" s="17"/>
      <x:c r="P822" s="17"/>
      <x:c r="Q822" s="17" t="str">
        <x:f>IF(COUNT(L822:P822)&lt;5,"",ROUND((L822*25+M822*20+N822*20+O822*20+P822*15)/5,1))</x:f>
      </x:c>
      <x:c r="R822" s="18" t="str"/>
      <x:c r="S822" s="18" t="str"/>
      <x:c r="T822" s="17" t="str"/>
      <x:c r="U822" s="19"/>
    </x:row>
    <x:row r="823">
      <x:c r="A823" s="17" t="str">
        <x:v>MTS-0822</x:v>
      </x:c>
      <x:c r="B823" s="17" t="str">
        <x:v>Vendor Compliance Portal</x:v>
      </x:c>
      <x:c r="C823" s="17" t="str">
        <x:v>Licensing and Compliance</x:v>
      </x:c>
      <x:c r="D823" s="17" t="str">
        <x:v>Web + Mobile</x:v>
      </x:c>
      <x:c r="E823" s="17" t="str">
        <x:v>Licensed professionals</x:v>
      </x:c>
      <x:c r="F823" s="18" t="str">
        <x:v>Vendor Compliance Portal provides a focused licensing and compliance workflow for licensed professionals.</x:v>
      </x:c>
      <x:c r="G823" s="18" t="str">
        <x:v>Renewals, Documents, Alerts, Reports</x:v>
      </x:c>
      <x:c r="H823" s="17" t="str">
        <x:v>Subscription</x:v>
      </x:c>
      <x:c r="I823" s="17" t="str">
        <x:v>Medium</x:v>
      </x:c>
      <x:c r="J823" s="17" t="str">
        <x:v>New candidate</x:v>
      </x:c>
      <x:c r="K823" s="17" t="str">
        <x:v>Unreviewed</x:v>
      </x:c>
      <x:c r="L823" s="17"/>
      <x:c r="M823" s="17"/>
      <x:c r="N823" s="17"/>
      <x:c r="O823" s="17"/>
      <x:c r="P823" s="17"/>
      <x:c r="Q823" s="17" t="str">
        <x:f>IF(COUNT(L823:P823)&lt;5,"",ROUND((L823*25+M823*20+N823*20+O823*20+P823*15)/5,1))</x:f>
      </x:c>
      <x:c r="R823" s="18" t="str"/>
      <x:c r="S823" s="18" t="str"/>
      <x:c r="T823" s="17" t="str"/>
      <x:c r="U823" s="19"/>
    </x:row>
    <x:row r="824">
      <x:c r="A824" s="17" t="str">
        <x:v>MTS-0823</x:v>
      </x:c>
      <x:c r="B824" s="17" t="str">
        <x:v>Training Requirement Tracker</x:v>
      </x:c>
      <x:c r="C824" s="17" t="str">
        <x:v>Licensing and Compliance</x:v>
      </x:c>
      <x:c r="D824" s="17" t="str">
        <x:v>Web + Mobile</x:v>
      </x:c>
      <x:c r="E824" s="17" t="str">
        <x:v>Licensed professionals</x:v>
      </x:c>
      <x:c r="F824" s="18" t="str">
        <x:v>Training Requirement Tracker provides a focused licensing and compliance workflow for licensed professionals.</x:v>
      </x:c>
      <x:c r="G824" s="18" t="str">
        <x:v>Renewals, Documents, Alerts, Reports</x:v>
      </x:c>
      <x:c r="H824" s="17" t="str">
        <x:v>Subscription</x:v>
      </x:c>
      <x:c r="I824" s="17" t="str">
        <x:v>Medium</x:v>
      </x:c>
      <x:c r="J824" s="17" t="str">
        <x:v>New candidate</x:v>
      </x:c>
      <x:c r="K824" s="17" t="str">
        <x:v>Unreviewed</x:v>
      </x:c>
      <x:c r="L824" s="17"/>
      <x:c r="M824" s="17"/>
      <x:c r="N824" s="17"/>
      <x:c r="O824" s="17"/>
      <x:c r="P824" s="17"/>
      <x:c r="Q824" s="17" t="str">
        <x:f>IF(COUNT(L824:P824)&lt;5,"",ROUND((L824*25+M824*20+N824*20+O824*20+P824*15)/5,1))</x:f>
      </x:c>
      <x:c r="R824" s="18" t="str"/>
      <x:c r="S824" s="18" t="str"/>
      <x:c r="T824" s="17" t="str"/>
      <x:c r="U824" s="19"/>
    </x:row>
    <x:row r="825">
      <x:c r="A825" s="17" t="str">
        <x:v>MTS-0824</x:v>
      </x:c>
      <x:c r="B825" s="17" t="str">
        <x:v>Inspection Deadline Calendar</x:v>
      </x:c>
      <x:c r="C825" s="17" t="str">
        <x:v>Licensing and Compliance</x:v>
      </x:c>
      <x:c r="D825" s="17" t="str">
        <x:v>Web + Mobile</x:v>
      </x:c>
      <x:c r="E825" s="17" t="str">
        <x:v>Licensed professionals</x:v>
      </x:c>
      <x:c r="F825" s="18" t="str">
        <x:v>Inspection Deadline Calendar provides a focused licensing and compliance workflow for licensed professionals.</x:v>
      </x:c>
      <x:c r="G825" s="18" t="str">
        <x:v>Renewals, Documents, Alerts, Reports</x:v>
      </x:c>
      <x:c r="H825" s="17" t="str">
        <x:v>Subscription</x:v>
      </x:c>
      <x:c r="I825" s="17" t="str">
        <x:v>Medium</x:v>
      </x:c>
      <x:c r="J825" s="17" t="str">
        <x:v>New candidate</x:v>
      </x:c>
      <x:c r="K825" s="17" t="str">
        <x:v>Unreviewed</x:v>
      </x:c>
      <x:c r="L825" s="17"/>
      <x:c r="M825" s="17"/>
      <x:c r="N825" s="17"/>
      <x:c r="O825" s="17"/>
      <x:c r="P825" s="17"/>
      <x:c r="Q825" s="17" t="str">
        <x:f>IF(COUNT(L825:P825)&lt;5,"",ROUND((L825*25+M825*20+N825*20+O825*20+P825*15)/5,1))</x:f>
      </x:c>
      <x:c r="R825" s="18" t="str"/>
      <x:c r="S825" s="18" t="str"/>
      <x:c r="T825" s="17" t="str"/>
      <x:c r="U825" s="19"/>
    </x:row>
    <x:row r="826">
      <x:c r="A826" s="17" t="str">
        <x:v>MTS-0825</x:v>
      </x:c>
      <x:c r="B826" s="17" t="str">
        <x:v>Policy Acknowledgment Tracker</x:v>
      </x:c>
      <x:c r="C826" s="17" t="str">
        <x:v>Licensing and Compliance</x:v>
      </x:c>
      <x:c r="D826" s="17" t="str">
        <x:v>Web + Mobile</x:v>
      </x:c>
      <x:c r="E826" s="17" t="str">
        <x:v>Licensed professionals</x:v>
      </x:c>
      <x:c r="F826" s="18" t="str">
        <x:v>Policy Acknowledgment Tracker provides a focused licensing and compliance workflow for licensed professionals.</x:v>
      </x:c>
      <x:c r="G826" s="18" t="str">
        <x:v>Renewals, Documents, Alerts, Reports</x:v>
      </x:c>
      <x:c r="H826" s="17" t="str">
        <x:v>Subscription</x:v>
      </x:c>
      <x:c r="I826" s="17" t="str">
        <x:v>Medium</x:v>
      </x:c>
      <x:c r="J826" s="17" t="str">
        <x:v>New candidate</x:v>
      </x:c>
      <x:c r="K826" s="17" t="str">
        <x:v>Unreviewed</x:v>
      </x:c>
      <x:c r="L826" s="17"/>
      <x:c r="M826" s="17"/>
      <x:c r="N826" s="17"/>
      <x:c r="O826" s="17"/>
      <x:c r="P826" s="17"/>
      <x:c r="Q826" s="17" t="str">
        <x:f>IF(COUNT(L826:P826)&lt;5,"",ROUND((L826*25+M826*20+N826*20+O826*20+P826*15)/5,1))</x:f>
      </x:c>
      <x:c r="R826" s="18" t="str"/>
      <x:c r="S826" s="18" t="str"/>
      <x:c r="T826" s="17" t="str"/>
      <x:c r="U826" s="19"/>
    </x:row>
    <x:row r="827">
      <x:c r="A827" s="17" t="str">
        <x:v>MTS-0826</x:v>
      </x:c>
      <x:c r="B827" s="17" t="str">
        <x:v>Document Retention Planner</x:v>
      </x:c>
      <x:c r="C827" s="17" t="str">
        <x:v>Licensing and Compliance</x:v>
      </x:c>
      <x:c r="D827" s="17" t="str">
        <x:v>Web + Mobile</x:v>
      </x:c>
      <x:c r="E827" s="17" t="str">
        <x:v>Licensed professionals</x:v>
      </x:c>
      <x:c r="F827" s="18" t="str">
        <x:v>Document Retention Planner provides a focused licensing and compliance workflow for licensed professionals.</x:v>
      </x:c>
      <x:c r="G827" s="18" t="str">
        <x:v>Renewals, Documents, Alerts, Reports</x:v>
      </x:c>
      <x:c r="H827" s="17" t="str">
        <x:v>Subscription</x:v>
      </x:c>
      <x:c r="I827" s="17" t="str">
        <x:v>Medium</x:v>
      </x:c>
      <x:c r="J827" s="17" t="str">
        <x:v>New candidate</x:v>
      </x:c>
      <x:c r="K827" s="17" t="str">
        <x:v>Unreviewed</x:v>
      </x:c>
      <x:c r="L827" s="17"/>
      <x:c r="M827" s="17"/>
      <x:c r="N827" s="17"/>
      <x:c r="O827" s="17"/>
      <x:c r="P827" s="17"/>
      <x:c r="Q827" s="17" t="str">
        <x:f>IF(COUNT(L827:P827)&lt;5,"",ROUND((L827*25+M827*20+N827*20+O827*20+P827*15)/5,1))</x:f>
      </x:c>
      <x:c r="R827" s="18" t="str"/>
      <x:c r="S827" s="18" t="str"/>
      <x:c r="T827" s="17" t="str"/>
      <x:c r="U827" s="19"/>
    </x:row>
    <x:row r="828">
      <x:c r="A828" s="17" t="str">
        <x:v>MTS-0827</x:v>
      </x:c>
      <x:c r="B828" s="17" t="str">
        <x:v>Compliance Action Register</x:v>
      </x:c>
      <x:c r="C828" s="17" t="str">
        <x:v>Licensing and Compliance</x:v>
      </x:c>
      <x:c r="D828" s="17" t="str">
        <x:v>Web + Mobile</x:v>
      </x:c>
      <x:c r="E828" s="17" t="str">
        <x:v>Licensed professionals</x:v>
      </x:c>
      <x:c r="F828" s="18" t="str">
        <x:v>Compliance Action Register provides a focused licensing and compliance workflow for licensed professionals.</x:v>
      </x:c>
      <x:c r="G828" s="18" t="str">
        <x:v>Renewals, Documents, Alerts, Reports</x:v>
      </x:c>
      <x:c r="H828" s="17" t="str">
        <x:v>Subscription</x:v>
      </x:c>
      <x:c r="I828" s="17" t="str">
        <x:v>Medium</x:v>
      </x:c>
      <x:c r="J828" s="17" t="str">
        <x:v>New candidate</x:v>
      </x:c>
      <x:c r="K828" s="17" t="str">
        <x:v>Unreviewed</x:v>
      </x:c>
      <x:c r="L828" s="17"/>
      <x:c r="M828" s="17"/>
      <x:c r="N828" s="17"/>
      <x:c r="O828" s="17"/>
      <x:c r="P828" s="17"/>
      <x:c r="Q828" s="17" t="str">
        <x:f>IF(COUNT(L828:P828)&lt;5,"",ROUND((L828*25+M828*20+N828*20+O828*20+P828*15)/5,1))</x:f>
      </x:c>
      <x:c r="R828" s="18" t="str"/>
      <x:c r="S828" s="18" t="str"/>
      <x:c r="T828" s="17" t="str"/>
      <x:c r="U828" s="19"/>
    </x:row>
    <x:row r="829">
      <x:c r="A829" s="17" t="str">
        <x:v>MTS-0828</x:v>
      </x:c>
      <x:c r="B829" s="17" t="str">
        <x:v>Multi-State Renewal Tracker</x:v>
      </x:c>
      <x:c r="C829" s="17" t="str">
        <x:v>Licensing and Compliance</x:v>
      </x:c>
      <x:c r="D829" s="17" t="str">
        <x:v>Web + Mobile</x:v>
      </x:c>
      <x:c r="E829" s="17" t="str">
        <x:v>Licensed professionals</x:v>
      </x:c>
      <x:c r="F829" s="18" t="str">
        <x:v>Multi-State Renewal Tracker provides a focused licensing and compliance workflow for licensed professionals.</x:v>
      </x:c>
      <x:c r="G829" s="18" t="str">
        <x:v>Renewals, Documents, Alerts, Reports</x:v>
      </x:c>
      <x:c r="H829" s="17" t="str">
        <x:v>Subscription</x:v>
      </x:c>
      <x:c r="I829" s="17" t="str">
        <x:v>Medium</x:v>
      </x:c>
      <x:c r="J829" s="17" t="str">
        <x:v>New candidate</x:v>
      </x:c>
      <x:c r="K829" s="17" t="str">
        <x:v>Unreviewed</x:v>
      </x:c>
      <x:c r="L829" s="17"/>
      <x:c r="M829" s="17"/>
      <x:c r="N829" s="17"/>
      <x:c r="O829" s="17"/>
      <x:c r="P829" s="17"/>
      <x:c r="Q829" s="17" t="str">
        <x:f>IF(COUNT(L829:P829)&lt;5,"",ROUND((L829*25+M829*20+N829*20+O829*20+P829*15)/5,1))</x:f>
      </x:c>
      <x:c r="R829" s="18" t="str"/>
      <x:c r="S829" s="18" t="str"/>
      <x:c r="T829" s="17" t="str"/>
      <x:c r="U829" s="19"/>
    </x:row>
    <x:row r="830">
      <x:c r="A830" s="17" t="str">
        <x:v>MTS-0829</x:v>
      </x:c>
      <x:c r="B830" s="17" t="str">
        <x:v>Mobile Appointment Book</x:v>
      </x:c>
      <x:c r="C830" s="17" t="str">
        <x:v>Appointments and Services</x:v>
      </x:c>
      <x:c r="D830" s="17" t="str">
        <x:v>Mobile + SaaS</x:v>
      </x:c>
      <x:c r="E830" s="17" t="str">
        <x:v>Service businesses</x:v>
      </x:c>
      <x:c r="F830" s="18" t="str">
        <x:v>Mobile Appointment Book provides a focused appointments and services workflow for service businesses.</x:v>
      </x:c>
      <x:c r="G830" s="18" t="str">
        <x:v>Scheduling, CRM, Notifications, Payments</x:v>
      </x:c>
      <x:c r="H830" s="17" t="str">
        <x:v>Subscription</x:v>
      </x:c>
      <x:c r="I830" s="17" t="str">
        <x:v>Medium</x:v>
      </x:c>
      <x:c r="J830" s="17" t="str">
        <x:v>New candidate</x:v>
      </x:c>
      <x:c r="K830" s="17" t="str">
        <x:v>Unreviewed</x:v>
      </x:c>
      <x:c r="L830" s="17"/>
      <x:c r="M830" s="17"/>
      <x:c r="N830" s="17"/>
      <x:c r="O830" s="17"/>
      <x:c r="P830" s="17"/>
      <x:c r="Q830" s="17" t="str">
        <x:f>IF(COUNT(L830:P830)&lt;5,"",ROUND((L830*25+M830*20+N830*20+O830*20+P830*15)/5,1))</x:f>
      </x:c>
      <x:c r="R830" s="18" t="str"/>
      <x:c r="S830" s="18" t="str"/>
      <x:c r="T830" s="17" t="str"/>
      <x:c r="U830" s="19"/>
    </x:row>
    <x:row r="831">
      <x:c r="A831" s="17" t="str">
        <x:v>MTS-0830</x:v>
      </x:c>
      <x:c r="B831" s="17" t="str">
        <x:v>Service Route Scheduler</x:v>
      </x:c>
      <x:c r="C831" s="17" t="str">
        <x:v>Appointments and Services</x:v>
      </x:c>
      <x:c r="D831" s="17" t="str">
        <x:v>Mobile + SaaS</x:v>
      </x:c>
      <x:c r="E831" s="17" t="str">
        <x:v>Service businesses</x:v>
      </x:c>
      <x:c r="F831" s="18" t="str">
        <x:v>Service Route Scheduler provides a focused appointments and services workflow for service businesses.</x:v>
      </x:c>
      <x:c r="G831" s="18" t="str">
        <x:v>Scheduling, CRM, Notifications, Payments</x:v>
      </x:c>
      <x:c r="H831" s="17" t="str">
        <x:v>Subscription</x:v>
      </x:c>
      <x:c r="I831" s="17" t="str">
        <x:v>Medium</x:v>
      </x:c>
      <x:c r="J831" s="17" t="str">
        <x:v>New candidate</x:v>
      </x:c>
      <x:c r="K831" s="17" t="str">
        <x:v>Unreviewed</x:v>
      </x:c>
      <x:c r="L831" s="17"/>
      <x:c r="M831" s="17"/>
      <x:c r="N831" s="17"/>
      <x:c r="O831" s="17"/>
      <x:c r="P831" s="17"/>
      <x:c r="Q831" s="17" t="str">
        <x:f>IF(COUNT(L831:P831)&lt;5,"",ROUND((L831*25+M831*20+N831*20+O831*20+P831*15)/5,1))</x:f>
      </x:c>
      <x:c r="R831" s="18" t="str"/>
      <x:c r="S831" s="18" t="str"/>
      <x:c r="T831" s="17" t="str"/>
      <x:c r="U831" s="19"/>
    </x:row>
    <x:row r="832">
      <x:c r="A832" s="17" t="str">
        <x:v>MTS-0831</x:v>
      </x:c>
      <x:c r="B832" s="17" t="str">
        <x:v>Customer Arrival Notifications</x:v>
      </x:c>
      <x:c r="C832" s="17" t="str">
        <x:v>Appointments and Services</x:v>
      </x:c>
      <x:c r="D832" s="17" t="str">
        <x:v>Mobile + SaaS</x:v>
      </x:c>
      <x:c r="E832" s="17" t="str">
        <x:v>Service businesses</x:v>
      </x:c>
      <x:c r="F832" s="18" t="str">
        <x:v>Customer Arrival Notifications provides a focused appointments and services workflow for service businesses.</x:v>
      </x:c>
      <x:c r="G832" s="18" t="str">
        <x:v>Scheduling, CRM, Notifications, Payments</x:v>
      </x:c>
      <x:c r="H832" s="17" t="str">
        <x:v>Subscription</x:v>
      </x:c>
      <x:c r="I832" s="17" t="str">
        <x:v>Medium</x:v>
      </x:c>
      <x:c r="J832" s="17" t="str">
        <x:v>New candidate</x:v>
      </x:c>
      <x:c r="K832" s="17" t="str">
        <x:v>Unreviewed</x:v>
      </x:c>
      <x:c r="L832" s="17"/>
      <x:c r="M832" s="17"/>
      <x:c r="N832" s="17"/>
      <x:c r="O832" s="17"/>
      <x:c r="P832" s="17"/>
      <x:c r="Q832" s="17" t="str">
        <x:f>IF(COUNT(L832:P832)&lt;5,"",ROUND((L832*25+M832*20+N832*20+O832*20+P832*15)/5,1))</x:f>
      </x:c>
      <x:c r="R832" s="18" t="str"/>
      <x:c r="S832" s="18" t="str"/>
      <x:c r="T832" s="17" t="str"/>
      <x:c r="U832" s="19"/>
    </x:row>
    <x:row r="833">
      <x:c r="A833" s="17" t="str">
        <x:v>MTS-0832</x:v>
      </x:c>
      <x:c r="B833" s="17" t="str">
        <x:v>No-Show Reduction Tracker</x:v>
      </x:c>
      <x:c r="C833" s="17" t="str">
        <x:v>Appointments and Services</x:v>
      </x:c>
      <x:c r="D833" s="17" t="str">
        <x:v>Mobile + SaaS</x:v>
      </x:c>
      <x:c r="E833" s="17" t="str">
        <x:v>Service businesses</x:v>
      </x:c>
      <x:c r="F833" s="18" t="str">
        <x:v>No-Show Reduction Tracker provides a focused appointments and services workflow for service businesses.</x:v>
      </x:c>
      <x:c r="G833" s="18" t="str">
        <x:v>Scheduling, CRM, Notifications, Payments</x:v>
      </x:c>
      <x:c r="H833" s="17" t="str">
        <x:v>Subscription</x:v>
      </x:c>
      <x:c r="I833" s="17" t="str">
        <x:v>Medium</x:v>
      </x:c>
      <x:c r="J833" s="17" t="str">
        <x:v>New candidate</x:v>
      </x:c>
      <x:c r="K833" s="17" t="str">
        <x:v>Unreviewed</x:v>
      </x:c>
      <x:c r="L833" s="17"/>
      <x:c r="M833" s="17"/>
      <x:c r="N833" s="17"/>
      <x:c r="O833" s="17"/>
      <x:c r="P833" s="17"/>
      <x:c r="Q833" s="17" t="str">
        <x:f>IF(COUNT(L833:P833)&lt;5,"",ROUND((L833*25+M833*20+N833*20+O833*20+P833*15)/5,1))</x:f>
      </x:c>
      <x:c r="R833" s="18" t="str"/>
      <x:c r="S833" s="18" t="str"/>
      <x:c r="T833" s="17" t="str"/>
      <x:c r="U833" s="19"/>
    </x:row>
    <x:row r="834">
      <x:c r="A834" s="17" t="str">
        <x:v>MTS-0833</x:v>
      </x:c>
      <x:c r="B834" s="17" t="str">
        <x:v>Recurring Client Scheduler</x:v>
      </x:c>
      <x:c r="C834" s="17" t="str">
        <x:v>Appointments and Services</x:v>
      </x:c>
      <x:c r="D834" s="17" t="str">
        <x:v>Mobile + SaaS</x:v>
      </x:c>
      <x:c r="E834" s="17" t="str">
        <x:v>Service businesses</x:v>
      </x:c>
      <x:c r="F834" s="18" t="str">
        <x:v>Recurring Client Scheduler provides a focused appointments and services workflow for service businesses.</x:v>
      </x:c>
      <x:c r="G834" s="18" t="str">
        <x:v>Scheduling, CRM, Notifications, Payments</x:v>
      </x:c>
      <x:c r="H834" s="17" t="str">
        <x:v>Subscription</x:v>
      </x:c>
      <x:c r="I834" s="17" t="str">
        <x:v>Medium</x:v>
      </x:c>
      <x:c r="J834" s="17" t="str">
        <x:v>New candidate</x:v>
      </x:c>
      <x:c r="K834" s="17" t="str">
        <x:v>Unreviewed</x:v>
      </x:c>
      <x:c r="L834" s="17"/>
      <x:c r="M834" s="17"/>
      <x:c r="N834" s="17"/>
      <x:c r="O834" s="17"/>
      <x:c r="P834" s="17"/>
      <x:c r="Q834" s="17" t="str">
        <x:f>IF(COUNT(L834:P834)&lt;5,"",ROUND((L834*25+M834*20+N834*20+O834*20+P834*15)/5,1))</x:f>
      </x:c>
      <x:c r="R834" s="18" t="str"/>
      <x:c r="S834" s="18" t="str"/>
      <x:c r="T834" s="17" t="str"/>
      <x:c r="U834" s="19"/>
    </x:row>
    <x:row r="835">
      <x:c r="A835" s="17" t="str">
        <x:v>MTS-0834</x:v>
      </x:c>
      <x:c r="B835" s="17" t="str">
        <x:v>Waitlist Fill Manager</x:v>
      </x:c>
      <x:c r="C835" s="17" t="str">
        <x:v>Appointments and Services</x:v>
      </x:c>
      <x:c r="D835" s="17" t="str">
        <x:v>Mobile + SaaS</x:v>
      </x:c>
      <x:c r="E835" s="17" t="str">
        <x:v>Service businesses</x:v>
      </x:c>
      <x:c r="F835" s="18" t="str">
        <x:v>Waitlist Fill Manager provides a focused appointments and services workflow for service businesses.</x:v>
      </x:c>
      <x:c r="G835" s="18" t="str">
        <x:v>Scheduling, CRM, Notifications, Payments</x:v>
      </x:c>
      <x:c r="H835" s="17" t="str">
        <x:v>Subscription</x:v>
      </x:c>
      <x:c r="I835" s="17" t="str">
        <x:v>Medium</x:v>
      </x:c>
      <x:c r="J835" s="17" t="str">
        <x:v>New candidate</x:v>
      </x:c>
      <x:c r="K835" s="17" t="str">
        <x:v>Unreviewed</x:v>
      </x:c>
      <x:c r="L835" s="17"/>
      <x:c r="M835" s="17"/>
      <x:c r="N835" s="17"/>
      <x:c r="O835" s="17"/>
      <x:c r="P835" s="17"/>
      <x:c r="Q835" s="17" t="str">
        <x:f>IF(COUNT(L835:P835)&lt;5,"",ROUND((L835*25+M835*20+N835*20+O835*20+P835*15)/5,1))</x:f>
      </x:c>
      <x:c r="R835" s="18" t="str"/>
      <x:c r="S835" s="18" t="str"/>
      <x:c r="T835" s="17" t="str"/>
      <x:c r="U835" s="19"/>
    </x:row>
    <x:row r="836">
      <x:c r="A836" s="17" t="str">
        <x:v>MTS-0835</x:v>
      </x:c>
      <x:c r="B836" s="17" t="str">
        <x:v>Service Intake Forms</x:v>
      </x:c>
      <x:c r="C836" s="17" t="str">
        <x:v>Appointments and Services</x:v>
      </x:c>
      <x:c r="D836" s="17" t="str">
        <x:v>Mobile + SaaS</x:v>
      </x:c>
      <x:c r="E836" s="17" t="str">
        <x:v>Service businesses</x:v>
      </x:c>
      <x:c r="F836" s="18" t="str">
        <x:v>Service Intake Forms provides a focused appointments and services workflow for service businesses.</x:v>
      </x:c>
      <x:c r="G836" s="18" t="str">
        <x:v>Scheduling, CRM, Notifications, Payments</x:v>
      </x:c>
      <x:c r="H836" s="17" t="str">
        <x:v>Subscription</x:v>
      </x:c>
      <x:c r="I836" s="17" t="str">
        <x:v>Medium</x:v>
      </x:c>
      <x:c r="J836" s="17" t="str">
        <x:v>New candidate</x:v>
      </x:c>
      <x:c r="K836" s="17" t="str">
        <x:v>Unreviewed</x:v>
      </x:c>
      <x:c r="L836" s="17"/>
      <x:c r="M836" s="17"/>
      <x:c r="N836" s="17"/>
      <x:c r="O836" s="17"/>
      <x:c r="P836" s="17"/>
      <x:c r="Q836" s="17" t="str">
        <x:f>IF(COUNT(L836:P836)&lt;5,"",ROUND((L836*25+M836*20+N836*20+O836*20+P836*15)/5,1))</x:f>
      </x:c>
      <x:c r="R836" s="18" t="str"/>
      <x:c r="S836" s="18" t="str"/>
      <x:c r="T836" s="17" t="str"/>
      <x:c r="U836" s="19"/>
    </x:row>
    <x:row r="837">
      <x:c r="A837" s="17" t="str">
        <x:v>MTS-0836</x:v>
      </x:c>
      <x:c r="B837" s="17" t="str">
        <x:v>Appointment Photo Notes</x:v>
      </x:c>
      <x:c r="C837" s="17" t="str">
        <x:v>Appointments and Services</x:v>
      </x:c>
      <x:c r="D837" s="17" t="str">
        <x:v>Mobile + SaaS</x:v>
      </x:c>
      <x:c r="E837" s="17" t="str">
        <x:v>Service businesses</x:v>
      </x:c>
      <x:c r="F837" s="18" t="str">
        <x:v>Appointment Photo Notes provides a focused appointments and services workflow for service businesses.</x:v>
      </x:c>
      <x:c r="G837" s="18" t="str">
        <x:v>Scheduling, CRM, Notifications, Payments</x:v>
      </x:c>
      <x:c r="H837" s="17" t="str">
        <x:v>Subscription</x:v>
      </x:c>
      <x:c r="I837" s="17" t="str">
        <x:v>Medium</x:v>
      </x:c>
      <x:c r="J837" s="17" t="str">
        <x:v>New candidate</x:v>
      </x:c>
      <x:c r="K837" s="17" t="str">
        <x:v>Unreviewed</x:v>
      </x:c>
      <x:c r="L837" s="17"/>
      <x:c r="M837" s="17"/>
      <x:c r="N837" s="17"/>
      <x:c r="O837" s="17"/>
      <x:c r="P837" s="17"/>
      <x:c r="Q837" s="17" t="str">
        <x:f>IF(COUNT(L837:P837)&lt;5,"",ROUND((L837*25+M837*20+N837*20+O837*20+P837*15)/5,1))</x:f>
      </x:c>
      <x:c r="R837" s="18" t="str"/>
      <x:c r="S837" s="18" t="str"/>
      <x:c r="T837" s="17" t="str"/>
      <x:c r="U837" s="19"/>
    </x:row>
    <x:row r="838">
      <x:c r="A838" s="17" t="str">
        <x:v>MTS-0837</x:v>
      </x:c>
      <x:c r="B838" s="17" t="str">
        <x:v>Travel Time Estimator</x:v>
      </x:c>
      <x:c r="C838" s="17" t="str">
        <x:v>Appointments and Services</x:v>
      </x:c>
      <x:c r="D838" s="17" t="str">
        <x:v>Mobile + SaaS</x:v>
      </x:c>
      <x:c r="E838" s="17" t="str">
        <x:v>Service businesses</x:v>
      </x:c>
      <x:c r="F838" s="18" t="str">
        <x:v>Travel Time Estimator provides a focused appointments and services workflow for service businesses.</x:v>
      </x:c>
      <x:c r="G838" s="18" t="str">
        <x:v>Scheduling, CRM, Notifications, Payments</x:v>
      </x:c>
      <x:c r="H838" s="17" t="str">
        <x:v>Subscription</x:v>
      </x:c>
      <x:c r="I838" s="17" t="str">
        <x:v>Medium</x:v>
      </x:c>
      <x:c r="J838" s="17" t="str">
        <x:v>New candidate</x:v>
      </x:c>
      <x:c r="K838" s="17" t="str">
        <x:v>Unreviewed</x:v>
      </x:c>
      <x:c r="L838" s="17"/>
      <x:c r="M838" s="17"/>
      <x:c r="N838" s="17"/>
      <x:c r="O838" s="17"/>
      <x:c r="P838" s="17"/>
      <x:c r="Q838" s="17" t="str">
        <x:f>IF(COUNT(L838:P838)&lt;5,"",ROUND((L838*25+M838*20+N838*20+O838*20+P838*15)/5,1))</x:f>
      </x:c>
      <x:c r="R838" s="18" t="str"/>
      <x:c r="S838" s="18" t="str"/>
      <x:c r="T838" s="17" t="str"/>
      <x:c r="U838" s="19"/>
    </x:row>
    <x:row r="839">
      <x:c r="A839" s="17" t="str">
        <x:v>MTS-0838</x:v>
      </x:c>
      <x:c r="B839" s="17" t="str">
        <x:v>Technician Dispatch Board</x:v>
      </x:c>
      <x:c r="C839" s="17" t="str">
        <x:v>Appointments and Services</x:v>
      </x:c>
      <x:c r="D839" s="17" t="str">
        <x:v>Mobile + SaaS</x:v>
      </x:c>
      <x:c r="E839" s="17" t="str">
        <x:v>Service businesses</x:v>
      </x:c>
      <x:c r="F839" s="18" t="str">
        <x:v>Technician Dispatch Board provides a focused appointments and services workflow for service businesses.</x:v>
      </x:c>
      <x:c r="G839" s="18" t="str">
        <x:v>Scheduling, CRM, Notifications, Payments</x:v>
      </x:c>
      <x:c r="H839" s="17" t="str">
        <x:v>Subscription</x:v>
      </x:c>
      <x:c r="I839" s="17" t="str">
        <x:v>Medium</x:v>
      </x:c>
      <x:c r="J839" s="17" t="str">
        <x:v>New candidate</x:v>
      </x:c>
      <x:c r="K839" s="17" t="str">
        <x:v>Unreviewed</x:v>
      </x:c>
      <x:c r="L839" s="17"/>
      <x:c r="M839" s="17"/>
      <x:c r="N839" s="17"/>
      <x:c r="O839" s="17"/>
      <x:c r="P839" s="17"/>
      <x:c r="Q839" s="17" t="str">
        <x:f>IF(COUNT(L839:P839)&lt;5,"",ROUND((L839*25+M839*20+N839*20+O839*20+P839*15)/5,1))</x:f>
      </x:c>
      <x:c r="R839" s="18" t="str"/>
      <x:c r="S839" s="18" t="str"/>
      <x:c r="T839" s="17" t="str"/>
      <x:c r="U839" s="19"/>
    </x:row>
    <x:row r="840">
      <x:c r="A840" s="17" t="str">
        <x:v>MTS-0839</x:v>
      </x:c>
      <x:c r="B840" s="17" t="str">
        <x:v>Customer Follow-Up Queue</x:v>
      </x:c>
      <x:c r="C840" s="17" t="str">
        <x:v>Appointments and Services</x:v>
      </x:c>
      <x:c r="D840" s="17" t="str">
        <x:v>Mobile + SaaS</x:v>
      </x:c>
      <x:c r="E840" s="17" t="str">
        <x:v>Service businesses</x:v>
      </x:c>
      <x:c r="F840" s="18" t="str">
        <x:v>Customer Follow-Up Queue provides a focused appointments and services workflow for service businesses.</x:v>
      </x:c>
      <x:c r="G840" s="18" t="str">
        <x:v>Scheduling, CRM, Notifications, Payments</x:v>
      </x:c>
      <x:c r="H840" s="17" t="str">
        <x:v>Subscription</x:v>
      </x:c>
      <x:c r="I840" s="17" t="str">
        <x:v>Medium</x:v>
      </x:c>
      <x:c r="J840" s="17" t="str">
        <x:v>New candidate</x:v>
      </x:c>
      <x:c r="K840" s="17" t="str">
        <x:v>Unreviewed</x:v>
      </x:c>
      <x:c r="L840" s="17"/>
      <x:c r="M840" s="17"/>
      <x:c r="N840" s="17"/>
      <x:c r="O840" s="17"/>
      <x:c r="P840" s="17"/>
      <x:c r="Q840" s="17" t="str">
        <x:f>IF(COUNT(L840:P840)&lt;5,"",ROUND((L840*25+M840*20+N840*20+O840*20+P840*15)/5,1))</x:f>
      </x:c>
      <x:c r="R840" s="18" t="str"/>
      <x:c r="S840" s="18" t="str"/>
      <x:c r="T840" s="17" t="str"/>
      <x:c r="U840" s="19"/>
    </x:row>
    <x:row r="841">
      <x:c r="A841" s="17" t="str">
        <x:v>MTS-0840</x:v>
      </x:c>
      <x:c r="B841" s="17" t="str">
        <x:v>Service Package Tracker</x:v>
      </x:c>
      <x:c r="C841" s="17" t="str">
        <x:v>Appointments and Services</x:v>
      </x:c>
      <x:c r="D841" s="17" t="str">
        <x:v>Mobile + SaaS</x:v>
      </x:c>
      <x:c r="E841" s="17" t="str">
        <x:v>Service businesses</x:v>
      </x:c>
      <x:c r="F841" s="18" t="str">
        <x:v>Service Package Tracker provides a focused appointments and services workflow for service businesses.</x:v>
      </x:c>
      <x:c r="G841" s="18" t="str">
        <x:v>Scheduling, CRM, Notifications, Payments</x:v>
      </x:c>
      <x:c r="H841" s="17" t="str">
        <x:v>Subscription</x:v>
      </x:c>
      <x:c r="I841" s="17" t="str">
        <x:v>Medium</x:v>
      </x:c>
      <x:c r="J841" s="17" t="str">
        <x:v>New candidate</x:v>
      </x:c>
      <x:c r="K841" s="17" t="str">
        <x:v>Unreviewed</x:v>
      </x:c>
      <x:c r="L841" s="17"/>
      <x:c r="M841" s="17"/>
      <x:c r="N841" s="17"/>
      <x:c r="O841" s="17"/>
      <x:c r="P841" s="17"/>
      <x:c r="Q841" s="17" t="str">
        <x:f>IF(COUNT(L841:P841)&lt;5,"",ROUND((L841*25+M841*20+N841*20+O841*20+P841*15)/5,1))</x:f>
      </x:c>
      <x:c r="R841" s="18" t="str"/>
      <x:c r="S841" s="18" t="str"/>
      <x:c r="T841" s="17" t="str"/>
      <x:c r="U841" s="19"/>
    </x:row>
    <x:row r="842">
      <x:c r="A842" s="17" t="str">
        <x:v>MTS-0841</x:v>
      </x:c>
      <x:c r="B842" s="17" t="str">
        <x:v>QR Asset Register</x:v>
      </x:c>
      <x:c r="C842" s="17" t="str">
        <x:v>Inventory and Assets</x:v>
      </x:c>
      <x:c r="D842" s="17" t="str">
        <x:v>Mobile + SaaS</x:v>
      </x:c>
      <x:c r="E842" s="17" t="str">
        <x:v>Small businesses and teams</x:v>
      </x:c>
      <x:c r="F842" s="18" t="str">
        <x:v>QR Asset Register provides a focused inventory and assets workflow for small businesses and teams.</x:v>
      </x:c>
      <x:c r="G842" s="18" t="str">
        <x:v>Inventory, QR, Checkout, Reports</x:v>
      </x:c>
      <x:c r="H842" s="17" t="str">
        <x:v>Subscription</x:v>
      </x:c>
      <x:c r="I842" s="17" t="str">
        <x:v>Medium</x:v>
      </x:c>
      <x:c r="J842" s="17" t="str">
        <x:v>New candidate</x:v>
      </x:c>
      <x:c r="K842" s="17" t="str">
        <x:v>Unreviewed</x:v>
      </x:c>
      <x:c r="L842" s="17"/>
      <x:c r="M842" s="17"/>
      <x:c r="N842" s="17"/>
      <x:c r="O842" s="17"/>
      <x:c r="P842" s="17"/>
      <x:c r="Q842" s="17" t="str">
        <x:f>IF(COUNT(L842:P842)&lt;5,"",ROUND((L842*25+M842*20+N842*20+O842*20+P842*15)/5,1))</x:f>
      </x:c>
      <x:c r="R842" s="18" t="str"/>
      <x:c r="S842" s="18" t="str"/>
      <x:c r="T842" s="17" t="str"/>
      <x:c r="U842" s="19"/>
    </x:row>
    <x:row r="843">
      <x:c r="A843" s="17" t="str">
        <x:v>MTS-0842</x:v>
      </x:c>
      <x:c r="B843" s="17" t="str">
        <x:v>Tool Checkout Manager</x:v>
      </x:c>
      <x:c r="C843" s="17" t="str">
        <x:v>Inventory and Assets</x:v>
      </x:c>
      <x:c r="D843" s="17" t="str">
        <x:v>Mobile + SaaS</x:v>
      </x:c>
      <x:c r="E843" s="17" t="str">
        <x:v>Small businesses and teams</x:v>
      </x:c>
      <x:c r="F843" s="18" t="str">
        <x:v>Tool Checkout Manager provides a focused inventory and assets workflow for small businesses and teams.</x:v>
      </x:c>
      <x:c r="G843" s="18" t="str">
        <x:v>Inventory, QR, Checkout, Reports</x:v>
      </x:c>
      <x:c r="H843" s="17" t="str">
        <x:v>Subscription</x:v>
      </x:c>
      <x:c r="I843" s="17" t="str">
        <x:v>Medium</x:v>
      </x:c>
      <x:c r="J843" s="17" t="str">
        <x:v>New candidate</x:v>
      </x:c>
      <x:c r="K843" s="17" t="str">
        <x:v>Unreviewed</x:v>
      </x:c>
      <x:c r="L843" s="17"/>
      <x:c r="M843" s="17"/>
      <x:c r="N843" s="17"/>
      <x:c r="O843" s="17"/>
      <x:c r="P843" s="17"/>
      <x:c r="Q843" s="17" t="str">
        <x:f>IF(COUNT(L843:P843)&lt;5,"",ROUND((L843*25+M843*20+N843*20+O843*20+P843*15)/5,1))</x:f>
      </x:c>
      <x:c r="R843" s="18" t="str"/>
      <x:c r="S843" s="18" t="str"/>
      <x:c r="T843" s="17" t="str"/>
      <x:c r="U843" s="19"/>
    </x:row>
    <x:row r="844">
      <x:c r="A844" s="17" t="str">
        <x:v>MTS-0843</x:v>
      </x:c>
      <x:c r="B844" s="17" t="str">
        <x:v>Consumable Stock Tracker</x:v>
      </x:c>
      <x:c r="C844" s="17" t="str">
        <x:v>Inventory and Assets</x:v>
      </x:c>
      <x:c r="D844" s="17" t="str">
        <x:v>Mobile + SaaS</x:v>
      </x:c>
      <x:c r="E844" s="17" t="str">
        <x:v>Small businesses and teams</x:v>
      </x:c>
      <x:c r="F844" s="18" t="str">
        <x:v>Consumable Stock Tracker provides a focused inventory and assets workflow for small businesses and teams.</x:v>
      </x:c>
      <x:c r="G844" s="18" t="str">
        <x:v>Inventory, QR, Checkout, Reports</x:v>
      </x:c>
      <x:c r="H844" s="17" t="str">
        <x:v>Subscription</x:v>
      </x:c>
      <x:c r="I844" s="17" t="str">
        <x:v>Medium</x:v>
      </x:c>
      <x:c r="J844" s="17" t="str">
        <x:v>New candidate</x:v>
      </x:c>
      <x:c r="K844" s="17" t="str">
        <x:v>Unreviewed</x:v>
      </x:c>
      <x:c r="L844" s="17"/>
      <x:c r="M844" s="17"/>
      <x:c r="N844" s="17"/>
      <x:c r="O844" s="17"/>
      <x:c r="P844" s="17"/>
      <x:c r="Q844" s="17" t="str">
        <x:f>IF(COUNT(L844:P844)&lt;5,"",ROUND((L844*25+M844*20+N844*20+O844*20+P844*15)/5,1))</x:f>
      </x:c>
      <x:c r="R844" s="18" t="str"/>
      <x:c r="S844" s="18" t="str"/>
      <x:c r="T844" s="17" t="str"/>
      <x:c r="U844" s="19"/>
    </x:row>
    <x:row r="845">
      <x:c r="A845" s="17" t="str">
        <x:v>MTS-0844</x:v>
      </x:c>
      <x:c r="B845" s="17" t="str">
        <x:v>Serial Number Vault</x:v>
      </x:c>
      <x:c r="C845" s="17" t="str">
        <x:v>Inventory and Assets</x:v>
      </x:c>
      <x:c r="D845" s="17" t="str">
        <x:v>Mobile + SaaS</x:v>
      </x:c>
      <x:c r="E845" s="17" t="str">
        <x:v>Small businesses and teams</x:v>
      </x:c>
      <x:c r="F845" s="18" t="str">
        <x:v>Serial Number Vault provides a focused inventory and assets workflow for small businesses and teams.</x:v>
      </x:c>
      <x:c r="G845" s="18" t="str">
        <x:v>Inventory, QR, Checkout, Reports</x:v>
      </x:c>
      <x:c r="H845" s="17" t="str">
        <x:v>Subscription</x:v>
      </x:c>
      <x:c r="I845" s="17" t="str">
        <x:v>Medium</x:v>
      </x:c>
      <x:c r="J845" s="17" t="str">
        <x:v>New candidate</x:v>
      </x:c>
      <x:c r="K845" s="17" t="str">
        <x:v>Unreviewed</x:v>
      </x:c>
      <x:c r="L845" s="17"/>
      <x:c r="M845" s="17"/>
      <x:c r="N845" s="17"/>
      <x:c r="O845" s="17"/>
      <x:c r="P845" s="17"/>
      <x:c r="Q845" s="17" t="str">
        <x:f>IF(COUNT(L845:P845)&lt;5,"",ROUND((L845*25+M845*20+N845*20+O845*20+P845*15)/5,1))</x:f>
      </x:c>
      <x:c r="R845" s="18" t="str"/>
      <x:c r="S845" s="18" t="str"/>
      <x:c r="T845" s="17" t="str"/>
      <x:c r="U845" s="19"/>
    </x:row>
    <x:row r="846">
      <x:c r="A846" s="17" t="str">
        <x:v>MTS-0845</x:v>
      </x:c>
      <x:c r="B846" s="17" t="str">
        <x:v>Office Equipment Inventory</x:v>
      </x:c>
      <x:c r="C846" s="17" t="str">
        <x:v>Inventory and Assets</x:v>
      </x:c>
      <x:c r="D846" s="17" t="str">
        <x:v>Mobile + SaaS</x:v>
      </x:c>
      <x:c r="E846" s="17" t="str">
        <x:v>Small businesses and teams</x:v>
      </x:c>
      <x:c r="F846" s="18" t="str">
        <x:v>Office Equipment Inventory provides a focused inventory and assets workflow for small businesses and teams.</x:v>
      </x:c>
      <x:c r="G846" s="18" t="str">
        <x:v>Inventory, QR, Checkout, Reports</x:v>
      </x:c>
      <x:c r="H846" s="17" t="str">
        <x:v>Subscription</x:v>
      </x:c>
      <x:c r="I846" s="17" t="str">
        <x:v>Medium</x:v>
      </x:c>
      <x:c r="J846" s="17" t="str">
        <x:v>New candidate</x:v>
      </x:c>
      <x:c r="K846" s="17" t="str">
        <x:v>Unreviewed</x:v>
      </x:c>
      <x:c r="L846" s="17"/>
      <x:c r="M846" s="17"/>
      <x:c r="N846" s="17"/>
      <x:c r="O846" s="17"/>
      <x:c r="P846" s="17"/>
      <x:c r="Q846" s="17" t="str">
        <x:f>IF(COUNT(L846:P846)&lt;5,"",ROUND((L846*25+M846*20+N846*20+O846*20+P846*15)/5,1))</x:f>
      </x:c>
      <x:c r="R846" s="18" t="str"/>
      <x:c r="S846" s="18" t="str"/>
      <x:c r="T846" s="17" t="str"/>
      <x:c r="U846" s="19"/>
    </x:row>
    <x:row r="847">
      <x:c r="A847" s="17" t="str">
        <x:v>MTS-0846</x:v>
      </x:c>
      <x:c r="B847" s="17" t="str">
        <x:v>Event Equipment Checkout</x:v>
      </x:c>
      <x:c r="C847" s="17" t="str">
        <x:v>Inventory and Assets</x:v>
      </x:c>
      <x:c r="D847" s="17" t="str">
        <x:v>Mobile + SaaS</x:v>
      </x:c>
      <x:c r="E847" s="17" t="str">
        <x:v>Small businesses and teams</x:v>
      </x:c>
      <x:c r="F847" s="18" t="str">
        <x:v>Event Equipment Checkout provides a focused inventory and assets workflow for small businesses and teams.</x:v>
      </x:c>
      <x:c r="G847" s="18" t="str">
        <x:v>Inventory, QR, Checkout, Reports</x:v>
      </x:c>
      <x:c r="H847" s="17" t="str">
        <x:v>Subscription</x:v>
      </x:c>
      <x:c r="I847" s="17" t="str">
        <x:v>Medium</x:v>
      </x:c>
      <x:c r="J847" s="17" t="str">
        <x:v>New candidate</x:v>
      </x:c>
      <x:c r="K847" s="17" t="str">
        <x:v>Unreviewed</x:v>
      </x:c>
      <x:c r="L847" s="17"/>
      <x:c r="M847" s="17"/>
      <x:c r="N847" s="17"/>
      <x:c r="O847" s="17"/>
      <x:c r="P847" s="17"/>
      <x:c r="Q847" s="17" t="str">
        <x:f>IF(COUNT(L847:P847)&lt;5,"",ROUND((L847*25+M847*20+N847*20+O847*20+P847*15)/5,1))</x:f>
      </x:c>
      <x:c r="R847" s="18" t="str"/>
      <x:c r="S847" s="18" t="str"/>
      <x:c r="T847" s="17" t="str"/>
      <x:c r="U847" s="19"/>
    </x:row>
    <x:row r="848">
      <x:c r="A848" s="17" t="str">
        <x:v>MTS-0847</x:v>
      </x:c>
      <x:c r="B848" s="17" t="str">
        <x:v>School Asset Inventory</x:v>
      </x:c>
      <x:c r="C848" s="17" t="str">
        <x:v>Inventory and Assets</x:v>
      </x:c>
      <x:c r="D848" s="17" t="str">
        <x:v>Mobile + SaaS</x:v>
      </x:c>
      <x:c r="E848" s="17" t="str">
        <x:v>Small businesses and teams</x:v>
      </x:c>
      <x:c r="F848" s="18" t="str">
        <x:v>School Asset Inventory provides a focused inventory and assets workflow for small businesses and teams.</x:v>
      </x:c>
      <x:c r="G848" s="18" t="str">
        <x:v>Inventory, QR, Checkout, Reports</x:v>
      </x:c>
      <x:c r="H848" s="17" t="str">
        <x:v>Subscription</x:v>
      </x:c>
      <x:c r="I848" s="17" t="str">
        <x:v>Medium</x:v>
      </x:c>
      <x:c r="J848" s="17" t="str">
        <x:v>New candidate</x:v>
      </x:c>
      <x:c r="K848" s="17" t="str">
        <x:v>Unreviewed</x:v>
      </x:c>
      <x:c r="L848" s="17"/>
      <x:c r="M848" s="17"/>
      <x:c r="N848" s="17"/>
      <x:c r="O848" s="17"/>
      <x:c r="P848" s="17"/>
      <x:c r="Q848" s="17" t="str">
        <x:f>IF(COUNT(L848:P848)&lt;5,"",ROUND((L848*25+M848*20+N848*20+O848*20+P848*15)/5,1))</x:f>
      </x:c>
      <x:c r="R848" s="18" t="str"/>
      <x:c r="S848" s="18" t="str"/>
      <x:c r="T848" s="17" t="str"/>
      <x:c r="U848" s="19"/>
    </x:row>
    <x:row r="849">
      <x:c r="A849" s="17" t="str">
        <x:v>MTS-0848</x:v>
      </x:c>
      <x:c r="B849" s="17" t="str">
        <x:v>Church Equipment Register</x:v>
      </x:c>
      <x:c r="C849" s="17" t="str">
        <x:v>Inventory and Assets</x:v>
      </x:c>
      <x:c r="D849" s="17" t="str">
        <x:v>Mobile + SaaS</x:v>
      </x:c>
      <x:c r="E849" s="17" t="str">
        <x:v>Small businesses and teams</x:v>
      </x:c>
      <x:c r="F849" s="18" t="str">
        <x:v>Church Equipment Register provides a focused inventory and assets workflow for small businesses and teams.</x:v>
      </x:c>
      <x:c r="G849" s="18" t="str">
        <x:v>Inventory, QR, Checkout, Reports</x:v>
      </x:c>
      <x:c r="H849" s="17" t="str">
        <x:v>Subscription</x:v>
      </x:c>
      <x:c r="I849" s="17" t="str">
        <x:v>Medium</x:v>
      </x:c>
      <x:c r="J849" s="17" t="str">
        <x:v>New candidate</x:v>
      </x:c>
      <x:c r="K849" s="17" t="str">
        <x:v>Unreviewed</x:v>
      </x:c>
      <x:c r="L849" s="17"/>
      <x:c r="M849" s="17"/>
      <x:c r="N849" s="17"/>
      <x:c r="O849" s="17"/>
      <x:c r="P849" s="17"/>
      <x:c r="Q849" s="17" t="str">
        <x:f>IF(COUNT(L849:P849)&lt;5,"",ROUND((L849*25+M849*20+N849*20+O849*20+P849*15)/5,1))</x:f>
      </x:c>
      <x:c r="R849" s="18" t="str"/>
      <x:c r="S849" s="18" t="str"/>
      <x:c r="T849" s="17" t="str"/>
      <x:c r="U849" s="19"/>
    </x:row>
    <x:row r="850">
      <x:c r="A850" s="17" t="str">
        <x:v>MTS-0849</x:v>
      </x:c>
      <x:c r="B850" s="17" t="str">
        <x:v>Rental Equipment Tracker</x:v>
      </x:c>
      <x:c r="C850" s="17" t="str">
        <x:v>Inventory and Assets</x:v>
      </x:c>
      <x:c r="D850" s="17" t="str">
        <x:v>Mobile + SaaS</x:v>
      </x:c>
      <x:c r="E850" s="17" t="str">
        <x:v>Small businesses and teams</x:v>
      </x:c>
      <x:c r="F850" s="18" t="str">
        <x:v>Rental Equipment Tracker provides a focused inventory and assets workflow for small businesses and teams.</x:v>
      </x:c>
      <x:c r="G850" s="18" t="str">
        <x:v>Inventory, QR, Checkout, Reports</x:v>
      </x:c>
      <x:c r="H850" s="17" t="str">
        <x:v>Subscription</x:v>
      </x:c>
      <x:c r="I850" s="17" t="str">
        <x:v>Medium</x:v>
      </x:c>
      <x:c r="J850" s="17" t="str">
        <x:v>New candidate</x:v>
      </x:c>
      <x:c r="K850" s="17" t="str">
        <x:v>Unreviewed</x:v>
      </x:c>
      <x:c r="L850" s="17"/>
      <x:c r="M850" s="17"/>
      <x:c r="N850" s="17"/>
      <x:c r="O850" s="17"/>
      <x:c r="P850" s="17"/>
      <x:c r="Q850" s="17" t="str">
        <x:f>IF(COUNT(L850:P850)&lt;5,"",ROUND((L850*25+M850*20+N850*20+O850*20+P850*15)/5,1))</x:f>
      </x:c>
      <x:c r="R850" s="18" t="str"/>
      <x:c r="S850" s="18" t="str"/>
      <x:c r="T850" s="17" t="str"/>
      <x:c r="U850" s="19"/>
    </x:row>
    <x:row r="851">
      <x:c r="A851" s="17" t="str">
        <x:v>MTS-0850</x:v>
      </x:c>
      <x:c r="B851" s="17" t="str">
        <x:v>Maintenance Parts Inventory</x:v>
      </x:c>
      <x:c r="C851" s="17" t="str">
        <x:v>Inventory and Assets</x:v>
      </x:c>
      <x:c r="D851" s="17" t="str">
        <x:v>Mobile + SaaS</x:v>
      </x:c>
      <x:c r="E851" s="17" t="str">
        <x:v>Small businesses and teams</x:v>
      </x:c>
      <x:c r="F851" s="18" t="str">
        <x:v>Maintenance Parts Inventory provides a focused inventory and assets workflow for small businesses and teams.</x:v>
      </x:c>
      <x:c r="G851" s="18" t="str">
        <x:v>Inventory, QR, Checkout, Reports</x:v>
      </x:c>
      <x:c r="H851" s="17" t="str">
        <x:v>Subscription</x:v>
      </x:c>
      <x:c r="I851" s="17" t="str">
        <x:v>Medium</x:v>
      </x:c>
      <x:c r="J851" s="17" t="str">
        <x:v>New candidate</x:v>
      </x:c>
      <x:c r="K851" s="17" t="str">
        <x:v>Unreviewed</x:v>
      </x:c>
      <x:c r="L851" s="17"/>
      <x:c r="M851" s="17"/>
      <x:c r="N851" s="17"/>
      <x:c r="O851" s="17"/>
      <x:c r="P851" s="17"/>
      <x:c r="Q851" s="17" t="str">
        <x:f>IF(COUNT(L851:P851)&lt;5,"",ROUND((L851*25+M851*20+N851*20+O851*20+P851*15)/5,1))</x:f>
      </x:c>
      <x:c r="R851" s="18" t="str"/>
      <x:c r="S851" s="18" t="str"/>
      <x:c r="T851" s="17" t="str"/>
      <x:c r="U851" s="19"/>
    </x:row>
    <x:row r="852">
      <x:c r="A852" s="17" t="str">
        <x:v>MTS-0851</x:v>
      </x:c>
      <x:c r="B852" s="17" t="str">
        <x:v>Photo Asset Verification</x:v>
      </x:c>
      <x:c r="C852" s="17" t="str">
        <x:v>Inventory and Assets</x:v>
      </x:c>
      <x:c r="D852" s="17" t="str">
        <x:v>Mobile + SaaS</x:v>
      </x:c>
      <x:c r="E852" s="17" t="str">
        <x:v>Small businesses and teams</x:v>
      </x:c>
      <x:c r="F852" s="18" t="str">
        <x:v>Photo Asset Verification provides a focused inventory and assets workflow for small businesses and teams.</x:v>
      </x:c>
      <x:c r="G852" s="18" t="str">
        <x:v>Inventory, QR, Checkout, Reports</x:v>
      </x:c>
      <x:c r="H852" s="17" t="str">
        <x:v>Subscription</x:v>
      </x:c>
      <x:c r="I852" s="17" t="str">
        <x:v>Medium</x:v>
      </x:c>
      <x:c r="J852" s="17" t="str">
        <x:v>New candidate</x:v>
      </x:c>
      <x:c r="K852" s="17" t="str">
        <x:v>Unreviewed</x:v>
      </x:c>
      <x:c r="L852" s="17"/>
      <x:c r="M852" s="17"/>
      <x:c r="N852" s="17"/>
      <x:c r="O852" s="17"/>
      <x:c r="P852" s="17"/>
      <x:c r="Q852" s="17" t="str">
        <x:f>IF(COUNT(L852:P852)&lt;5,"",ROUND((L852*25+M852*20+N852*20+O852*20+P852*15)/5,1))</x:f>
      </x:c>
      <x:c r="R852" s="18" t="str"/>
      <x:c r="S852" s="18" t="str"/>
      <x:c r="T852" s="17" t="str"/>
      <x:c r="U852" s="19"/>
    </x:row>
    <x:row r="853">
      <x:c r="A853" s="17" t="str">
        <x:v>MTS-0852</x:v>
      </x:c>
      <x:c r="B853" s="17" t="str">
        <x:v>Inventory Cycle Count</x:v>
      </x:c>
      <x:c r="C853" s="17" t="str">
        <x:v>Inventory and Assets</x:v>
      </x:c>
      <x:c r="D853" s="17" t="str">
        <x:v>Mobile + SaaS</x:v>
      </x:c>
      <x:c r="E853" s="17" t="str">
        <x:v>Small businesses and teams</x:v>
      </x:c>
      <x:c r="F853" s="18" t="str">
        <x:v>Inventory Cycle Count provides a focused inventory and assets workflow for small businesses and teams.</x:v>
      </x:c>
      <x:c r="G853" s="18" t="str">
        <x:v>Inventory, QR, Checkout, Reports</x:v>
      </x:c>
      <x:c r="H853" s="17" t="str">
        <x:v>Subscription</x:v>
      </x:c>
      <x:c r="I853" s="17" t="str">
        <x:v>Medium</x:v>
      </x:c>
      <x:c r="J853" s="17" t="str">
        <x:v>New candidate</x:v>
      </x:c>
      <x:c r="K853" s="17" t="str">
        <x:v>Unreviewed</x:v>
      </x:c>
      <x:c r="L853" s="17"/>
      <x:c r="M853" s="17"/>
      <x:c r="N853" s="17"/>
      <x:c r="O853" s="17"/>
      <x:c r="P853" s="17"/>
      <x:c r="Q853" s="17" t="str">
        <x:f>IF(COUNT(L853:P853)&lt;5,"",ROUND((L853*25+M853*20+N853*20+O853*20+P853*15)/5,1))</x:f>
      </x:c>
      <x:c r="R853" s="18" t="str"/>
      <x:c r="S853" s="18" t="str"/>
      <x:c r="T853" s="17" t="str"/>
      <x:c r="U853" s="19"/>
    </x:row>
    <x:row r="854">
      <x:c r="A854" s="17" t="str">
        <x:v>MTS-0853</x:v>
      </x:c>
      <x:c r="B854" s="17" t="str">
        <x:v>Daily Operations Board</x:v>
      </x:c>
      <x:c r="C854" s="17" t="str">
        <x:v>Team Productivity</x:v>
      </x:c>
      <x:c r="D854" s="17" t="str">
        <x:v>Web + Mobile</x:v>
      </x:c>
      <x:c r="E854" s="17" t="str">
        <x:v>Small teams</x:v>
      </x:c>
      <x:c r="F854" s="18" t="str">
        <x:v>Daily Operations Board provides a focused team productivity workflow for small teams.</x:v>
      </x:c>
      <x:c r="G854" s="18" t="str">
        <x:v>Tasks, Approvals, Checklists, Reports</x:v>
      </x:c>
      <x:c r="H854" s="17" t="str">
        <x:v>Subscription</x:v>
      </x:c>
      <x:c r="I854" s="17" t="str">
        <x:v>Medium</x:v>
      </x:c>
      <x:c r="J854" s="17" t="str">
        <x:v>New candidate</x:v>
      </x:c>
      <x:c r="K854" s="17" t="str">
        <x:v>Unreviewed</x:v>
      </x:c>
      <x:c r="L854" s="17"/>
      <x:c r="M854" s="17"/>
      <x:c r="N854" s="17"/>
      <x:c r="O854" s="17"/>
      <x:c r="P854" s="17"/>
      <x:c r="Q854" s="17" t="str">
        <x:f>IF(COUNT(L854:P854)&lt;5,"",ROUND((L854*25+M854*20+N854*20+O854*20+P854*15)/5,1))</x:f>
      </x:c>
      <x:c r="R854" s="18" t="str"/>
      <x:c r="S854" s="18" t="str"/>
      <x:c r="T854" s="17" t="str"/>
      <x:c r="U854" s="19"/>
    </x:row>
    <x:row r="855">
      <x:c r="A855" s="17" t="str">
        <x:v>MTS-0854</x:v>
      </x:c>
      <x:c r="B855" s="17" t="str">
        <x:v>Shift Handoff Manager</x:v>
      </x:c>
      <x:c r="C855" s="17" t="str">
        <x:v>Team Productivity</x:v>
      </x:c>
      <x:c r="D855" s="17" t="str">
        <x:v>Web + Mobile</x:v>
      </x:c>
      <x:c r="E855" s="17" t="str">
        <x:v>Small teams</x:v>
      </x:c>
      <x:c r="F855" s="18" t="str">
        <x:v>Shift Handoff Manager provides a focused team productivity workflow for small teams.</x:v>
      </x:c>
      <x:c r="G855" s="18" t="str">
        <x:v>Tasks, Approvals, Checklists, Reports</x:v>
      </x:c>
      <x:c r="H855" s="17" t="str">
        <x:v>Subscription</x:v>
      </x:c>
      <x:c r="I855" s="17" t="str">
        <x:v>Medium</x:v>
      </x:c>
      <x:c r="J855" s="17" t="str">
        <x:v>New candidate</x:v>
      </x:c>
      <x:c r="K855" s="17" t="str">
        <x:v>Unreviewed</x:v>
      </x:c>
      <x:c r="L855" s="17"/>
      <x:c r="M855" s="17"/>
      <x:c r="N855" s="17"/>
      <x:c r="O855" s="17"/>
      <x:c r="P855" s="17"/>
      <x:c r="Q855" s="17" t="str">
        <x:f>IF(COUNT(L855:P855)&lt;5,"",ROUND((L855*25+M855*20+N855*20+O855*20+P855*15)/5,1))</x:f>
      </x:c>
      <x:c r="R855" s="18" t="str"/>
      <x:c r="S855" s="18" t="str"/>
      <x:c r="T855" s="17" t="str"/>
      <x:c r="U855" s="19"/>
    </x:row>
    <x:row r="856">
      <x:c r="A856" s="17" t="str">
        <x:v>MTS-0855</x:v>
      </x:c>
      <x:c r="B856" s="17" t="str">
        <x:v>Recurring Checklist Hub</x:v>
      </x:c>
      <x:c r="C856" s="17" t="str">
        <x:v>Team Productivity</x:v>
      </x:c>
      <x:c r="D856" s="17" t="str">
        <x:v>Web + Mobile</x:v>
      </x:c>
      <x:c r="E856" s="17" t="str">
        <x:v>Small teams</x:v>
      </x:c>
      <x:c r="F856" s="18" t="str">
        <x:v>Recurring Checklist Hub provides a focused team productivity workflow for small teams.</x:v>
      </x:c>
      <x:c r="G856" s="18" t="str">
        <x:v>Tasks, Approvals, Checklists, Reports</x:v>
      </x:c>
      <x:c r="H856" s="17" t="str">
        <x:v>Subscription</x:v>
      </x:c>
      <x:c r="I856" s="17" t="str">
        <x:v>Medium</x:v>
      </x:c>
      <x:c r="J856" s="17" t="str">
        <x:v>New candidate</x:v>
      </x:c>
      <x:c r="K856" s="17" t="str">
        <x:v>Unreviewed</x:v>
      </x:c>
      <x:c r="L856" s="17"/>
      <x:c r="M856" s="17"/>
      <x:c r="N856" s="17"/>
      <x:c r="O856" s="17"/>
      <x:c r="P856" s="17"/>
      <x:c r="Q856" s="17" t="str">
        <x:f>IF(COUNT(L856:P856)&lt;5,"",ROUND((L856*25+M856*20+N856*20+O856*20+P856*15)/5,1))</x:f>
      </x:c>
      <x:c r="R856" s="18" t="str"/>
      <x:c r="S856" s="18" t="str"/>
      <x:c r="T856" s="17" t="str"/>
      <x:c r="U856" s="19"/>
    </x:row>
    <x:row r="857">
      <x:c r="A857" s="17" t="str">
        <x:v>MTS-0856</x:v>
      </x:c>
      <x:c r="B857" s="17" t="str">
        <x:v>Team Decision Log</x:v>
      </x:c>
      <x:c r="C857" s="17" t="str">
        <x:v>Team Productivity</x:v>
      </x:c>
      <x:c r="D857" s="17" t="str">
        <x:v>Web + Mobile</x:v>
      </x:c>
      <x:c r="E857" s="17" t="str">
        <x:v>Small teams</x:v>
      </x:c>
      <x:c r="F857" s="18" t="str">
        <x:v>Team Decision Log provides a focused team productivity workflow for small teams.</x:v>
      </x:c>
      <x:c r="G857" s="18" t="str">
        <x:v>Tasks, Approvals, Checklists, Reports</x:v>
      </x:c>
      <x:c r="H857" s="17" t="str">
        <x:v>Subscription</x:v>
      </x:c>
      <x:c r="I857" s="17" t="str">
        <x:v>Medium</x:v>
      </x:c>
      <x:c r="J857" s="17" t="str">
        <x:v>New candidate</x:v>
      </x:c>
      <x:c r="K857" s="17" t="str">
        <x:v>Unreviewed</x:v>
      </x:c>
      <x:c r="L857" s="17"/>
      <x:c r="M857" s="17"/>
      <x:c r="N857" s="17"/>
      <x:c r="O857" s="17"/>
      <x:c r="P857" s="17"/>
      <x:c r="Q857" s="17" t="str">
        <x:f>IF(COUNT(L857:P857)&lt;5,"",ROUND((L857*25+M857*20+N857*20+O857*20+P857*15)/5,1))</x:f>
      </x:c>
      <x:c r="R857" s="18" t="str"/>
      <x:c r="S857" s="18" t="str"/>
      <x:c r="T857" s="17" t="str"/>
      <x:c r="U857" s="19"/>
    </x:row>
    <x:row r="858">
      <x:c r="A858" s="17" t="str">
        <x:v>MTS-0857</x:v>
      </x:c>
      <x:c r="B858" s="17" t="str">
        <x:v>Simple Approval Workflow</x:v>
      </x:c>
      <x:c r="C858" s="17" t="str">
        <x:v>Team Productivity</x:v>
      </x:c>
      <x:c r="D858" s="17" t="str">
        <x:v>Web + Mobile</x:v>
      </x:c>
      <x:c r="E858" s="17" t="str">
        <x:v>Small teams</x:v>
      </x:c>
      <x:c r="F858" s="18" t="str">
        <x:v>Simple Approval Workflow provides a focused team productivity workflow for small teams.</x:v>
      </x:c>
      <x:c r="G858" s="18" t="str">
        <x:v>Tasks, Approvals, Checklists, Reports</x:v>
      </x:c>
      <x:c r="H858" s="17" t="str">
        <x:v>Subscription</x:v>
      </x:c>
      <x:c r="I858" s="17" t="str">
        <x:v>Medium</x:v>
      </x:c>
      <x:c r="J858" s="17" t="str">
        <x:v>New candidate</x:v>
      </x:c>
      <x:c r="K858" s="17" t="str">
        <x:v>Unreviewed</x:v>
      </x:c>
      <x:c r="L858" s="17"/>
      <x:c r="M858" s="17"/>
      <x:c r="N858" s="17"/>
      <x:c r="O858" s="17"/>
      <x:c r="P858" s="17"/>
      <x:c r="Q858" s="17" t="str">
        <x:f>IF(COUNT(L858:P858)&lt;5,"",ROUND((L858*25+M858*20+N858*20+O858*20+P858*15)/5,1))</x:f>
      </x:c>
      <x:c r="R858" s="18" t="str"/>
      <x:c r="S858" s="18" t="str"/>
      <x:c r="T858" s="17" t="str"/>
      <x:c r="U858" s="19"/>
    </x:row>
    <x:row r="859">
      <x:c r="A859" s="17" t="str">
        <x:v>MTS-0858</x:v>
      </x:c>
      <x:c r="B859" s="17" t="str">
        <x:v>Issue Escalation Board</x:v>
      </x:c>
      <x:c r="C859" s="17" t="str">
        <x:v>Team Productivity</x:v>
      </x:c>
      <x:c r="D859" s="17" t="str">
        <x:v>Web + Mobile</x:v>
      </x:c>
      <x:c r="E859" s="17" t="str">
        <x:v>Small teams</x:v>
      </x:c>
      <x:c r="F859" s="18" t="str">
        <x:v>Issue Escalation Board provides a focused team productivity workflow for small teams.</x:v>
      </x:c>
      <x:c r="G859" s="18" t="str">
        <x:v>Tasks, Approvals, Checklists, Reports</x:v>
      </x:c>
      <x:c r="H859" s="17" t="str">
        <x:v>Subscription</x:v>
      </x:c>
      <x:c r="I859" s="17" t="str">
        <x:v>Medium</x:v>
      </x:c>
      <x:c r="J859" s="17" t="str">
        <x:v>New candidate</x:v>
      </x:c>
      <x:c r="K859" s="17" t="str">
        <x:v>Unreviewed</x:v>
      </x:c>
      <x:c r="L859" s="17"/>
      <x:c r="M859" s="17"/>
      <x:c r="N859" s="17"/>
      <x:c r="O859" s="17"/>
      <x:c r="P859" s="17"/>
      <x:c r="Q859" s="17" t="str">
        <x:f>IF(COUNT(L859:P859)&lt;5,"",ROUND((L859*25+M859*20+N859*20+O859*20+P859*15)/5,1))</x:f>
      </x:c>
      <x:c r="R859" s="18" t="str"/>
      <x:c r="S859" s="18" t="str"/>
      <x:c r="T859" s="17" t="str"/>
      <x:c r="U859" s="19"/>
    </x:row>
    <x:row r="860">
      <x:c r="A860" s="17" t="str">
        <x:v>MTS-0859</x:v>
      </x:c>
      <x:c r="B860" s="17" t="str">
        <x:v>Meeting Action Tracker</x:v>
      </x:c>
      <x:c r="C860" s="17" t="str">
        <x:v>Team Productivity</x:v>
      </x:c>
      <x:c r="D860" s="17" t="str">
        <x:v>Web + Mobile</x:v>
      </x:c>
      <x:c r="E860" s="17" t="str">
        <x:v>Small teams</x:v>
      </x:c>
      <x:c r="F860" s="18" t="str">
        <x:v>Meeting Action Tracker provides a focused team productivity workflow for small teams.</x:v>
      </x:c>
      <x:c r="G860" s="18" t="str">
        <x:v>Tasks, Approvals, Checklists, Reports</x:v>
      </x:c>
      <x:c r="H860" s="17" t="str">
        <x:v>Subscription</x:v>
      </x:c>
      <x:c r="I860" s="17" t="str">
        <x:v>Medium</x:v>
      </x:c>
      <x:c r="J860" s="17" t="str">
        <x:v>New candidate</x:v>
      </x:c>
      <x:c r="K860" s="17" t="str">
        <x:v>Unreviewed</x:v>
      </x:c>
      <x:c r="L860" s="17"/>
      <x:c r="M860" s="17"/>
      <x:c r="N860" s="17"/>
      <x:c r="O860" s="17"/>
      <x:c r="P860" s="17"/>
      <x:c r="Q860" s="17" t="str">
        <x:f>IF(COUNT(L860:P860)&lt;5,"",ROUND((L860*25+M860*20+N860*20+O860*20+P860*15)/5,1))</x:f>
      </x:c>
      <x:c r="R860" s="18" t="str"/>
      <x:c r="S860" s="18" t="str"/>
      <x:c r="T860" s="17" t="str"/>
      <x:c r="U860" s="19"/>
    </x:row>
    <x:row r="861">
      <x:c r="A861" s="17" t="str">
        <x:v>MTS-0860</x:v>
      </x:c>
      <x:c r="B861" s="17" t="str">
        <x:v>Standard Procedure Library</x:v>
      </x:c>
      <x:c r="C861" s="17" t="str">
        <x:v>Team Productivity</x:v>
      </x:c>
      <x:c r="D861" s="17" t="str">
        <x:v>Web + Mobile</x:v>
      </x:c>
      <x:c r="E861" s="17" t="str">
        <x:v>Small teams</x:v>
      </x:c>
      <x:c r="F861" s="18" t="str">
        <x:v>Standard Procedure Library provides a focused team productivity workflow for small teams.</x:v>
      </x:c>
      <x:c r="G861" s="18" t="str">
        <x:v>Tasks, Approvals, Checklists, Reports</x:v>
      </x:c>
      <x:c r="H861" s="17" t="str">
        <x:v>Subscription</x:v>
      </x:c>
      <x:c r="I861" s="17" t="str">
        <x:v>Medium</x:v>
      </x:c>
      <x:c r="J861" s="17" t="str">
        <x:v>New candidate</x:v>
      </x:c>
      <x:c r="K861" s="17" t="str">
        <x:v>Unreviewed</x:v>
      </x:c>
      <x:c r="L861" s="17"/>
      <x:c r="M861" s="17"/>
      <x:c r="N861" s="17"/>
      <x:c r="O861" s="17"/>
      <x:c r="P861" s="17"/>
      <x:c r="Q861" s="17" t="str">
        <x:f>IF(COUNT(L861:P861)&lt;5,"",ROUND((L861*25+M861*20+N861*20+O861*20+P861*15)/5,1))</x:f>
      </x:c>
      <x:c r="R861" s="18" t="str"/>
      <x:c r="S861" s="18" t="str"/>
      <x:c r="T861" s="17" t="str"/>
      <x:c r="U861" s="19"/>
    </x:row>
    <x:row r="862">
      <x:c r="A862" s="17" t="str">
        <x:v>MTS-0861</x:v>
      </x:c>
      <x:c r="B862" s="17" t="str">
        <x:v>Team Evidence Collector</x:v>
      </x:c>
      <x:c r="C862" s="17" t="str">
        <x:v>Team Productivity</x:v>
      </x:c>
      <x:c r="D862" s="17" t="str">
        <x:v>Web + Mobile</x:v>
      </x:c>
      <x:c r="E862" s="17" t="str">
        <x:v>Small teams</x:v>
      </x:c>
      <x:c r="F862" s="18" t="str">
        <x:v>Team Evidence Collector provides a focused team productivity workflow for small teams.</x:v>
      </x:c>
      <x:c r="G862" s="18" t="str">
        <x:v>Tasks, Approvals, Checklists, Reports</x:v>
      </x:c>
      <x:c r="H862" s="17" t="str">
        <x:v>Subscription</x:v>
      </x:c>
      <x:c r="I862" s="17" t="str">
        <x:v>Medium</x:v>
      </x:c>
      <x:c r="J862" s="17" t="str">
        <x:v>New candidate</x:v>
      </x:c>
      <x:c r="K862" s="17" t="str">
        <x:v>Unreviewed</x:v>
      </x:c>
      <x:c r="L862" s="17"/>
      <x:c r="M862" s="17"/>
      <x:c r="N862" s="17"/>
      <x:c r="O862" s="17"/>
      <x:c r="P862" s="17"/>
      <x:c r="Q862" s="17" t="str">
        <x:f>IF(COUNT(L862:P862)&lt;5,"",ROUND((L862*25+M862*20+N862*20+O862*20+P862*15)/5,1))</x:f>
      </x:c>
      <x:c r="R862" s="18" t="str"/>
      <x:c r="S862" s="18" t="str"/>
      <x:c r="T862" s="17" t="str"/>
      <x:c r="U862" s="19"/>
    </x:row>
    <x:row r="863">
      <x:c r="A863" s="17" t="str">
        <x:v>MTS-0862</x:v>
      </x:c>
      <x:c r="B863" s="17" t="str">
        <x:v>Deadline Risk Board</x:v>
      </x:c>
      <x:c r="C863" s="17" t="str">
        <x:v>Team Productivity</x:v>
      </x:c>
      <x:c r="D863" s="17" t="str">
        <x:v>Web + Mobile</x:v>
      </x:c>
      <x:c r="E863" s="17" t="str">
        <x:v>Small teams</x:v>
      </x:c>
      <x:c r="F863" s="18" t="str">
        <x:v>Deadline Risk Board provides a focused team productivity workflow for small teams.</x:v>
      </x:c>
      <x:c r="G863" s="18" t="str">
        <x:v>Tasks, Approvals, Checklists, Reports</x:v>
      </x:c>
      <x:c r="H863" s="17" t="str">
        <x:v>Subscription</x:v>
      </x:c>
      <x:c r="I863" s="17" t="str">
        <x:v>Medium</x:v>
      </x:c>
      <x:c r="J863" s="17" t="str">
        <x:v>New candidate</x:v>
      </x:c>
      <x:c r="K863" s="17" t="str">
        <x:v>Unreviewed</x:v>
      </x:c>
      <x:c r="L863" s="17"/>
      <x:c r="M863" s="17"/>
      <x:c r="N863" s="17"/>
      <x:c r="O863" s="17"/>
      <x:c r="P863" s="17"/>
      <x:c r="Q863" s="17" t="str">
        <x:f>IF(COUNT(L863:P863)&lt;5,"",ROUND((L863*25+M863*20+N863*20+O863*20+P863*15)/5,1))</x:f>
      </x:c>
      <x:c r="R863" s="18" t="str"/>
      <x:c r="S863" s="18" t="str"/>
      <x:c r="T863" s="17" t="str"/>
      <x:c r="U863" s="19"/>
    </x:row>
    <x:row r="864">
      <x:c r="A864" s="17" t="str">
        <x:v>MTS-0863</x:v>
      </x:c>
      <x:c r="B864" s="17" t="str">
        <x:v>Small Team Status Report</x:v>
      </x:c>
      <x:c r="C864" s="17" t="str">
        <x:v>Team Productivity</x:v>
      </x:c>
      <x:c r="D864" s="17" t="str">
        <x:v>Web + Mobile</x:v>
      </x:c>
      <x:c r="E864" s="17" t="str">
        <x:v>Small teams</x:v>
      </x:c>
      <x:c r="F864" s="18" t="str">
        <x:v>Small Team Status Report provides a focused team productivity workflow for small teams.</x:v>
      </x:c>
      <x:c r="G864" s="18" t="str">
        <x:v>Tasks, Approvals, Checklists, Reports</x:v>
      </x:c>
      <x:c r="H864" s="17" t="str">
        <x:v>Subscription</x:v>
      </x:c>
      <x:c r="I864" s="17" t="str">
        <x:v>Medium</x:v>
      </x:c>
      <x:c r="J864" s="17" t="str">
        <x:v>New candidate</x:v>
      </x:c>
      <x:c r="K864" s="17" t="str">
        <x:v>Unreviewed</x:v>
      </x:c>
      <x:c r="L864" s="17"/>
      <x:c r="M864" s="17"/>
      <x:c r="N864" s="17"/>
      <x:c r="O864" s="17"/>
      <x:c r="P864" s="17"/>
      <x:c r="Q864" s="17" t="str">
        <x:f>IF(COUNT(L864:P864)&lt;5,"",ROUND((L864*25+M864*20+N864*20+O864*20+P864*15)/5,1))</x:f>
      </x:c>
      <x:c r="R864" s="18" t="str"/>
      <x:c r="S864" s="18" t="str"/>
      <x:c r="T864" s="17" t="str"/>
      <x:c r="U864" s="19"/>
    </x:row>
    <x:row r="865">
      <x:c r="A865" s="17" t="str">
        <x:v>MTS-0864</x:v>
      </x:c>
      <x:c r="B865" s="17" t="str">
        <x:v>Operations Calendar</x:v>
      </x:c>
      <x:c r="C865" s="17" t="str">
        <x:v>Team Productivity</x:v>
      </x:c>
      <x:c r="D865" s="17" t="str">
        <x:v>Web + Mobile</x:v>
      </x:c>
      <x:c r="E865" s="17" t="str">
        <x:v>Small teams</x:v>
      </x:c>
      <x:c r="F865" s="18" t="str">
        <x:v>Operations Calendar provides a focused team productivity workflow for small teams.</x:v>
      </x:c>
      <x:c r="G865" s="18" t="str">
        <x:v>Tasks, Approvals, Checklists, Reports</x:v>
      </x:c>
      <x:c r="H865" s="17" t="str">
        <x:v>Subscription</x:v>
      </x:c>
      <x:c r="I865" s="17" t="str">
        <x:v>Medium</x:v>
      </x:c>
      <x:c r="J865" s="17" t="str">
        <x:v>New candidate</x:v>
      </x:c>
      <x:c r="K865" s="17" t="str">
        <x:v>Unreviewed</x:v>
      </x:c>
      <x:c r="L865" s="17"/>
      <x:c r="M865" s="17"/>
      <x:c r="N865" s="17"/>
      <x:c r="O865" s="17"/>
      <x:c r="P865" s="17"/>
      <x:c r="Q865" s="17" t="str">
        <x:f>IF(COUNT(L865:P865)&lt;5,"",ROUND((L865*25+M865*20+N865*20+O865*20+P865*15)/5,1))</x:f>
      </x:c>
      <x:c r="R865" s="18" t="str"/>
      <x:c r="S865" s="18" t="str"/>
      <x:c r="T865" s="17" t="str"/>
      <x:c r="U865" s="19"/>
    </x:row>
    <x:row r="866">
      <x:c r="A866" s="17" t="str">
        <x:v>MTS-0865</x:v>
      </x:c>
      <x:c r="B866" s="17" t="str">
        <x:v>Side Job Profit Calculator</x:v>
      </x:c>
      <x:c r="C866" s="17" t="str">
        <x:v>Finance Calculators</x:v>
      </x:c>
      <x:c r="D866" s="17" t="str">
        <x:v>Mobile + Web</x:v>
      </x:c>
      <x:c r="E866" s="17" t="str">
        <x:v>Consumers and small businesses</x:v>
      </x:c>
      <x:c r="F866" s="18" t="str">
        <x:v>Side Job Profit Calculator provides a focused finance calculators workflow for consumers and small businesses.</x:v>
      </x:c>
      <x:c r="G866" s="18" t="str">
        <x:v>Calculator, Records, Export, Alerts</x:v>
      </x:c>
      <x:c r="H866" s="17" t="str">
        <x:v>Ads + Pro</x:v>
      </x:c>
      <x:c r="I866" s="17" t="str">
        <x:v>Small</x:v>
      </x:c>
      <x:c r="J866" s="17" t="str">
        <x:v>New candidate</x:v>
      </x:c>
      <x:c r="K866" s="17" t="str">
        <x:v>Unreviewed</x:v>
      </x:c>
      <x:c r="L866" s="17"/>
      <x:c r="M866" s="17"/>
      <x:c r="N866" s="17"/>
      <x:c r="O866" s="17"/>
      <x:c r="P866" s="17"/>
      <x:c r="Q866" s="17" t="str">
        <x:f>IF(COUNT(L866:P866)&lt;5,"",ROUND((L866*25+M866*20+N866*20+O866*20+P866*15)/5,1))</x:f>
      </x:c>
      <x:c r="R866" s="18" t="str"/>
      <x:c r="S866" s="18" t="str"/>
      <x:c r="T866" s="17" t="str"/>
      <x:c r="U866" s="19"/>
    </x:row>
    <x:row r="867">
      <x:c r="A867" s="17" t="str">
        <x:v>MTS-0866</x:v>
      </x:c>
      <x:c r="B867" s="17" t="str">
        <x:v>Freelance Rate Calculator</x:v>
      </x:c>
      <x:c r="C867" s="17" t="str">
        <x:v>Finance Calculators</x:v>
      </x:c>
      <x:c r="D867" s="17" t="str">
        <x:v>Mobile + Web</x:v>
      </x:c>
      <x:c r="E867" s="17" t="str">
        <x:v>Consumers and small businesses</x:v>
      </x:c>
      <x:c r="F867" s="18" t="str">
        <x:v>Freelance Rate Calculator provides a focused finance calculators workflow for consumers and small businesses.</x:v>
      </x:c>
      <x:c r="G867" s="18" t="str">
        <x:v>Calculator, Records, Export, Alerts</x:v>
      </x:c>
      <x:c r="H867" s="17" t="str">
        <x:v>Ads + Pro</x:v>
      </x:c>
      <x:c r="I867" s="17" t="str">
        <x:v>Small</x:v>
      </x:c>
      <x:c r="J867" s="17" t="str">
        <x:v>New candidate</x:v>
      </x:c>
      <x:c r="K867" s="17" t="str">
        <x:v>Unreviewed</x:v>
      </x:c>
      <x:c r="L867" s="17"/>
      <x:c r="M867" s="17"/>
      <x:c r="N867" s="17"/>
      <x:c r="O867" s="17"/>
      <x:c r="P867" s="17"/>
      <x:c r="Q867" s="17" t="str">
        <x:f>IF(COUNT(L867:P867)&lt;5,"",ROUND((L867*25+M867*20+N867*20+O867*20+P867*15)/5,1))</x:f>
      </x:c>
      <x:c r="R867" s="18" t="str"/>
      <x:c r="S867" s="18" t="str"/>
      <x:c r="T867" s="17" t="str"/>
      <x:c r="U867" s="19"/>
    </x:row>
    <x:row r="868">
      <x:c r="A868" s="17" t="str">
        <x:v>MTS-0867</x:v>
      </x:c>
      <x:c r="B868" s="17" t="str">
        <x:v>Equipment Payback Calculator</x:v>
      </x:c>
      <x:c r="C868" s="17" t="str">
        <x:v>Finance Calculators</x:v>
      </x:c>
      <x:c r="D868" s="17" t="str">
        <x:v>Mobile + Web</x:v>
      </x:c>
      <x:c r="E868" s="17" t="str">
        <x:v>Consumers and small businesses</x:v>
      </x:c>
      <x:c r="F868" s="18" t="str">
        <x:v>Equipment Payback Calculator provides a focused finance calculators workflow for consumers and small businesses.</x:v>
      </x:c>
      <x:c r="G868" s="18" t="str">
        <x:v>Calculator, Records, Export, Alerts</x:v>
      </x:c>
      <x:c r="H868" s="17" t="str">
        <x:v>Ads + Pro</x:v>
      </x:c>
      <x:c r="I868" s="17" t="str">
        <x:v>Small</x:v>
      </x:c>
      <x:c r="J868" s="17" t="str">
        <x:v>New candidate</x:v>
      </x:c>
      <x:c r="K868" s="17" t="str">
        <x:v>Unreviewed</x:v>
      </x:c>
      <x:c r="L868" s="17"/>
      <x:c r="M868" s="17"/>
      <x:c r="N868" s="17"/>
      <x:c r="O868" s="17"/>
      <x:c r="P868" s="17"/>
      <x:c r="Q868" s="17" t="str">
        <x:f>IF(COUNT(L868:P868)&lt;5,"",ROUND((L868*25+M868*20+N868*20+O868*20+P868*15)/5,1))</x:f>
      </x:c>
      <x:c r="R868" s="18" t="str"/>
      <x:c r="S868" s="18" t="str"/>
      <x:c r="T868" s="17" t="str"/>
      <x:c r="U868" s="19"/>
    </x:row>
    <x:row r="869">
      <x:c r="A869" s="17" t="str">
        <x:v>MTS-0868</x:v>
      </x:c>
      <x:c r="B869" s="17" t="str">
        <x:v>Vehicle Cost Per Mile</x:v>
      </x:c>
      <x:c r="C869" s="17" t="str">
        <x:v>Finance Calculators</x:v>
      </x:c>
      <x:c r="D869" s="17" t="str">
        <x:v>Mobile + Web</x:v>
      </x:c>
      <x:c r="E869" s="17" t="str">
        <x:v>Consumers and small businesses</x:v>
      </x:c>
      <x:c r="F869" s="18" t="str">
        <x:v>Vehicle Cost Per Mile provides a focused finance calculators workflow for consumers and small businesses.</x:v>
      </x:c>
      <x:c r="G869" s="18" t="str">
        <x:v>Calculator, Records, Export, Alerts</x:v>
      </x:c>
      <x:c r="H869" s="17" t="str">
        <x:v>Ads + Pro</x:v>
      </x:c>
      <x:c r="I869" s="17" t="str">
        <x:v>Small</x:v>
      </x:c>
      <x:c r="J869" s="17" t="str">
        <x:v>New candidate</x:v>
      </x:c>
      <x:c r="K869" s="17" t="str">
        <x:v>Unreviewed</x:v>
      </x:c>
      <x:c r="L869" s="17"/>
      <x:c r="M869" s="17"/>
      <x:c r="N869" s="17"/>
      <x:c r="O869" s="17"/>
      <x:c r="P869" s="17"/>
      <x:c r="Q869" s="17" t="str">
        <x:f>IF(COUNT(L869:P869)&lt;5,"",ROUND((L869*25+M869*20+N869*20+O869*20+P869*15)/5,1))</x:f>
      </x:c>
      <x:c r="R869" s="18" t="str"/>
      <x:c r="S869" s="18" t="str"/>
      <x:c r="T869" s="17" t="str"/>
      <x:c r="U869" s="19"/>
    </x:row>
    <x:row r="870">
      <x:c r="A870" s="17" t="str">
        <x:v>MTS-0869</x:v>
      </x:c>
      <x:c r="B870" s="17" t="str">
        <x:v>Subscription Cost Analyzer</x:v>
      </x:c>
      <x:c r="C870" s="17" t="str">
        <x:v>Finance Calculators</x:v>
      </x:c>
      <x:c r="D870" s="17" t="str">
        <x:v>Mobile + Web</x:v>
      </x:c>
      <x:c r="E870" s="17" t="str">
        <x:v>Consumers and small businesses</x:v>
      </x:c>
      <x:c r="F870" s="18" t="str">
        <x:v>Subscription Cost Analyzer provides a focused finance calculators workflow for consumers and small businesses.</x:v>
      </x:c>
      <x:c r="G870" s="18" t="str">
        <x:v>Calculator, Records, Export, Alerts</x:v>
      </x:c>
      <x:c r="H870" s="17" t="str">
        <x:v>Ads + Pro</x:v>
      </x:c>
      <x:c r="I870" s="17" t="str">
        <x:v>Small</x:v>
      </x:c>
      <x:c r="J870" s="17" t="str">
        <x:v>New candidate</x:v>
      </x:c>
      <x:c r="K870" s="17" t="str">
        <x:v>Unreviewed</x:v>
      </x:c>
      <x:c r="L870" s="17"/>
      <x:c r="M870" s="17"/>
      <x:c r="N870" s="17"/>
      <x:c r="O870" s="17"/>
      <x:c r="P870" s="17"/>
      <x:c r="Q870" s="17" t="str">
        <x:f>IF(COUNT(L870:P870)&lt;5,"",ROUND((L870*25+M870*20+N870*20+O870*20+P870*15)/5,1))</x:f>
      </x:c>
      <x:c r="R870" s="18" t="str"/>
      <x:c r="S870" s="18" t="str"/>
      <x:c r="T870" s="17" t="str"/>
      <x:c r="U870" s="19"/>
    </x:row>
    <x:row r="871">
      <x:c r="A871" s="17" t="str">
        <x:v>MTS-0870</x:v>
      </x:c>
      <x:c r="B871" s="17" t="str">
        <x:v>Savings Goal Planner</x:v>
      </x:c>
      <x:c r="C871" s="17" t="str">
        <x:v>Finance Calculators</x:v>
      </x:c>
      <x:c r="D871" s="17" t="str">
        <x:v>Mobile + Web</x:v>
      </x:c>
      <x:c r="E871" s="17" t="str">
        <x:v>Consumers and small businesses</x:v>
      </x:c>
      <x:c r="F871" s="18" t="str">
        <x:v>Savings Goal Planner provides a focused finance calculators workflow for consumers and small businesses.</x:v>
      </x:c>
      <x:c r="G871" s="18" t="str">
        <x:v>Calculator, Records, Export, Alerts</x:v>
      </x:c>
      <x:c r="H871" s="17" t="str">
        <x:v>Ads + Pro</x:v>
      </x:c>
      <x:c r="I871" s="17" t="str">
        <x:v>Small</x:v>
      </x:c>
      <x:c r="J871" s="17" t="str">
        <x:v>New candidate</x:v>
      </x:c>
      <x:c r="K871" s="17" t="str">
        <x:v>Unreviewed</x:v>
      </x:c>
      <x:c r="L871" s="17"/>
      <x:c r="M871" s="17"/>
      <x:c r="N871" s="17"/>
      <x:c r="O871" s="17"/>
      <x:c r="P871" s="17"/>
      <x:c r="Q871" s="17" t="str">
        <x:f>IF(COUNT(L871:P871)&lt;5,"",ROUND((L871*25+M871*20+N871*20+O871*20+P871*15)/5,1))</x:f>
      </x:c>
      <x:c r="R871" s="18" t="str"/>
      <x:c r="S871" s="18" t="str"/>
      <x:c r="T871" s="17" t="str"/>
      <x:c r="U871" s="19"/>
    </x:row>
    <x:row r="872">
      <x:c r="A872" s="17" t="str">
        <x:v>MTS-0871</x:v>
      </x:c>
      <x:c r="B872" s="17" t="str">
        <x:v>Simple Debt Payoff Planner</x:v>
      </x:c>
      <x:c r="C872" s="17" t="str">
        <x:v>Finance Calculators</x:v>
      </x:c>
      <x:c r="D872" s="17" t="str">
        <x:v>Mobile + Web</x:v>
      </x:c>
      <x:c r="E872" s="17" t="str">
        <x:v>Consumers and small businesses</x:v>
      </x:c>
      <x:c r="F872" s="18" t="str">
        <x:v>Simple Debt Payoff Planner provides a focused finance calculators workflow for consumers and small businesses.</x:v>
      </x:c>
      <x:c r="G872" s="18" t="str">
        <x:v>Calculator, Records, Export, Alerts</x:v>
      </x:c>
      <x:c r="H872" s="17" t="str">
        <x:v>Ads + Pro</x:v>
      </x:c>
      <x:c r="I872" s="17" t="str">
        <x:v>Small</x:v>
      </x:c>
      <x:c r="J872" s="17" t="str">
        <x:v>New candidate</x:v>
      </x:c>
      <x:c r="K872" s="17" t="str">
        <x:v>Unreviewed</x:v>
      </x:c>
      <x:c r="L872" s="17"/>
      <x:c r="M872" s="17"/>
      <x:c r="N872" s="17"/>
      <x:c r="O872" s="17"/>
      <x:c r="P872" s="17"/>
      <x:c r="Q872" s="17" t="str">
        <x:f>IF(COUNT(L872:P872)&lt;5,"",ROUND((L872*25+M872*20+N872*20+O872*20+P872*15)/5,1))</x:f>
      </x:c>
      <x:c r="R872" s="18" t="str"/>
      <x:c r="S872" s="18" t="str"/>
      <x:c r="T872" s="17" t="str"/>
      <x:c r="U872" s="19"/>
    </x:row>
    <x:row r="873">
      <x:c r="A873" s="17" t="str">
        <x:v>MTS-0872</x:v>
      </x:c>
      <x:c r="B873" s="17" t="str">
        <x:v>Cash Job Receipt Log</x:v>
      </x:c>
      <x:c r="C873" s="17" t="str">
        <x:v>Finance Calculators</x:v>
      </x:c>
      <x:c r="D873" s="17" t="str">
        <x:v>Mobile + Web</x:v>
      </x:c>
      <x:c r="E873" s="17" t="str">
        <x:v>Consumers and small businesses</x:v>
      </x:c>
      <x:c r="F873" s="18" t="str">
        <x:v>Cash Job Receipt Log provides a focused finance calculators workflow for consumers and small businesses.</x:v>
      </x:c>
      <x:c r="G873" s="18" t="str">
        <x:v>Calculator, Records, Export, Alerts</x:v>
      </x:c>
      <x:c r="H873" s="17" t="str">
        <x:v>Ads + Pro</x:v>
      </x:c>
      <x:c r="I873" s="17" t="str">
        <x:v>Small</x:v>
      </x:c>
      <x:c r="J873" s="17" t="str">
        <x:v>New candidate</x:v>
      </x:c>
      <x:c r="K873" s="17" t="str">
        <x:v>Unreviewed</x:v>
      </x:c>
      <x:c r="L873" s="17"/>
      <x:c r="M873" s="17"/>
      <x:c r="N873" s="17"/>
      <x:c r="O873" s="17"/>
      <x:c r="P873" s="17"/>
      <x:c r="Q873" s="17" t="str">
        <x:f>IF(COUNT(L873:P873)&lt;5,"",ROUND((L873*25+M873*20+N873*20+O873*20+P873*15)/5,1))</x:f>
      </x:c>
      <x:c r="R873" s="18" t="str"/>
      <x:c r="S873" s="18" t="str"/>
      <x:c r="T873" s="17" t="str"/>
      <x:c r="U873" s="19"/>
    </x:row>
    <x:row r="874">
      <x:c r="A874" s="17" t="str">
        <x:v>MTS-0873</x:v>
      </x:c>
      <x:c r="B874" s="17" t="str">
        <x:v>Business Break-Even Calculator</x:v>
      </x:c>
      <x:c r="C874" s="17" t="str">
        <x:v>Finance Calculators</x:v>
      </x:c>
      <x:c r="D874" s="17" t="str">
        <x:v>Mobile + Web</x:v>
      </x:c>
      <x:c r="E874" s="17" t="str">
        <x:v>Consumers and small businesses</x:v>
      </x:c>
      <x:c r="F874" s="18" t="str">
        <x:v>Business Break-Even Calculator provides a focused finance calculators workflow for consumers and small businesses.</x:v>
      </x:c>
      <x:c r="G874" s="18" t="str">
        <x:v>Calculator, Records, Export, Alerts</x:v>
      </x:c>
      <x:c r="H874" s="17" t="str">
        <x:v>Ads + Pro</x:v>
      </x:c>
      <x:c r="I874" s="17" t="str">
        <x:v>Small</x:v>
      </x:c>
      <x:c r="J874" s="17" t="str">
        <x:v>New candidate</x:v>
      </x:c>
      <x:c r="K874" s="17" t="str">
        <x:v>Unreviewed</x:v>
      </x:c>
      <x:c r="L874" s="17"/>
      <x:c r="M874" s="17"/>
      <x:c r="N874" s="17"/>
      <x:c r="O874" s="17"/>
      <x:c r="P874" s="17"/>
      <x:c r="Q874" s="17" t="str">
        <x:f>IF(COUNT(L874:P874)&lt;5,"",ROUND((L874*25+M874*20+N874*20+O874*20+P874*15)/5,1))</x:f>
      </x:c>
      <x:c r="R874" s="18" t="str"/>
      <x:c r="S874" s="18" t="str"/>
      <x:c r="T874" s="17" t="str"/>
      <x:c r="U874" s="19"/>
    </x:row>
    <x:row r="875">
      <x:c r="A875" s="17" t="str">
        <x:v>MTS-0874</x:v>
      </x:c>
      <x:c r="B875" s="17" t="str">
        <x:v>Rental Property Expense Log</x:v>
      </x:c>
      <x:c r="C875" s="17" t="str">
        <x:v>Finance Calculators</x:v>
      </x:c>
      <x:c r="D875" s="17" t="str">
        <x:v>Mobile + Web</x:v>
      </x:c>
      <x:c r="E875" s="17" t="str">
        <x:v>Consumers and small businesses</x:v>
      </x:c>
      <x:c r="F875" s="18" t="str">
        <x:v>Rental Property Expense Log provides a focused finance calculators workflow for consumers and small businesses.</x:v>
      </x:c>
      <x:c r="G875" s="18" t="str">
        <x:v>Calculator, Records, Export, Alerts</x:v>
      </x:c>
      <x:c r="H875" s="17" t="str">
        <x:v>Ads + Pro</x:v>
      </x:c>
      <x:c r="I875" s="17" t="str">
        <x:v>Small</x:v>
      </x:c>
      <x:c r="J875" s="17" t="str">
        <x:v>New candidate</x:v>
      </x:c>
      <x:c r="K875" s="17" t="str">
        <x:v>Unreviewed</x:v>
      </x:c>
      <x:c r="L875" s="17"/>
      <x:c r="M875" s="17"/>
      <x:c r="N875" s="17"/>
      <x:c r="O875" s="17"/>
      <x:c r="P875" s="17"/>
      <x:c r="Q875" s="17" t="str">
        <x:f>IF(COUNT(L875:P875)&lt;5,"",ROUND((L875*25+M875*20+N875*20+O875*20+P875*15)/5,1))</x:f>
      </x:c>
      <x:c r="R875" s="18" t="str"/>
      <x:c r="S875" s="18" t="str"/>
      <x:c r="T875" s="17" t="str"/>
      <x:c r="U875" s="19"/>
    </x:row>
    <x:row r="876">
      <x:c r="A876" s="17" t="str">
        <x:v>MTS-0875</x:v>
      </x:c>
      <x:c r="B876" s="17" t="str">
        <x:v>Project Budget Tracker</x:v>
      </x:c>
      <x:c r="C876" s="17" t="str">
        <x:v>Finance Calculators</x:v>
      </x:c>
      <x:c r="D876" s="17" t="str">
        <x:v>Mobile + Web</x:v>
      </x:c>
      <x:c r="E876" s="17" t="str">
        <x:v>Consumers and small businesses</x:v>
      </x:c>
      <x:c r="F876" s="18" t="str">
        <x:v>Project Budget Tracker provides a focused finance calculators workflow for consumers and small businesses.</x:v>
      </x:c>
      <x:c r="G876" s="18" t="str">
        <x:v>Calculator, Records, Export, Alerts</x:v>
      </x:c>
      <x:c r="H876" s="17" t="str">
        <x:v>Ads + Pro</x:v>
      </x:c>
      <x:c r="I876" s="17" t="str">
        <x:v>Small</x:v>
      </x:c>
      <x:c r="J876" s="17" t="str">
        <x:v>New candidate</x:v>
      </x:c>
      <x:c r="K876" s="17" t="str">
        <x:v>Unreviewed</x:v>
      </x:c>
      <x:c r="L876" s="17"/>
      <x:c r="M876" s="17"/>
      <x:c r="N876" s="17"/>
      <x:c r="O876" s="17"/>
      <x:c r="P876" s="17"/>
      <x:c r="Q876" s="17" t="str">
        <x:f>IF(COUNT(L876:P876)&lt;5,"",ROUND((L876*25+M876*20+N876*20+O876*20+P876*15)/5,1))</x:f>
      </x:c>
      <x:c r="R876" s="18" t="str"/>
      <x:c r="S876" s="18" t="str"/>
      <x:c r="T876" s="17" t="str"/>
      <x:c r="U876" s="19"/>
    </x:row>
    <x:row r="877">
      <x:c r="A877" s="17" t="str">
        <x:v>MTS-0876</x:v>
      </x:c>
      <x:c r="B877" s="17" t="str">
        <x:v>Purchase Versus Rent Calculator</x:v>
      </x:c>
      <x:c r="C877" s="17" t="str">
        <x:v>Finance Calculators</x:v>
      </x:c>
      <x:c r="D877" s="17" t="str">
        <x:v>Mobile + Web</x:v>
      </x:c>
      <x:c r="E877" s="17" t="str">
        <x:v>Consumers and small businesses</x:v>
      </x:c>
      <x:c r="F877" s="18" t="str">
        <x:v>Purchase Versus Rent Calculator provides a focused finance calculators workflow for consumers and small businesses.</x:v>
      </x:c>
      <x:c r="G877" s="18" t="str">
        <x:v>Calculator, Records, Export, Alerts</x:v>
      </x:c>
      <x:c r="H877" s="17" t="str">
        <x:v>Ads + Pro</x:v>
      </x:c>
      <x:c r="I877" s="17" t="str">
        <x:v>Small</x:v>
      </x:c>
      <x:c r="J877" s="17" t="str">
        <x:v>New candidate</x:v>
      </x:c>
      <x:c r="K877" s="17" t="str">
        <x:v>Unreviewed</x:v>
      </x:c>
      <x:c r="L877" s="17"/>
      <x:c r="M877" s="17"/>
      <x:c r="N877" s="17"/>
      <x:c r="O877" s="17"/>
      <x:c r="P877" s="17"/>
      <x:c r="Q877" s="17" t="str">
        <x:f>IF(COUNT(L877:P877)&lt;5,"",ROUND((L877*25+M877*20+N877*20+O877*20+P877*15)/5,1))</x:f>
      </x:c>
      <x:c r="R877" s="18" t="str"/>
      <x:c r="S877" s="18" t="str"/>
      <x:c r="T877" s="17" t="str"/>
      <x:c r="U877" s="19"/>
    </x:row>
    <x:row r="878">
      <x:c r="A878" s="17" t="str">
        <x:v>MTS-0877</x:v>
      </x:c>
      <x:c r="B878" s="17" t="str">
        <x:v>Neighborhood Issue Reporter</x:v>
      </x:c>
      <x:c r="C878" s="17" t="str">
        <x:v>Community and Civic</x:v>
      </x:c>
      <x:c r="D878" s="17" t="str">
        <x:v>Mobile + Web</x:v>
      </x:c>
      <x:c r="E878" s="17" t="str">
        <x:v>Neighborhoods and local groups</x:v>
      </x:c>
      <x:c r="F878" s="18" t="str">
        <x:v>Neighborhood Issue Reporter provides a focused community and civic workflow for neighborhoods and local groups.</x:v>
      </x:c>
      <x:c r="G878" s="18" t="str">
        <x:v>Reports, Maps, Events, Notifications</x:v>
      </x:c>
      <x:c r="H878" s="17" t="str">
        <x:v>Freemium</x:v>
      </x:c>
      <x:c r="I878" s="17" t="str">
        <x:v>Medium</x:v>
      </x:c>
      <x:c r="J878" s="17" t="str">
        <x:v>New candidate</x:v>
      </x:c>
      <x:c r="K878" s="17" t="str">
        <x:v>Unreviewed</x:v>
      </x:c>
      <x:c r="L878" s="17"/>
      <x:c r="M878" s="17"/>
      <x:c r="N878" s="17"/>
      <x:c r="O878" s="17"/>
      <x:c r="P878" s="17"/>
      <x:c r="Q878" s="17" t="str">
        <x:f>IF(COUNT(L878:P878)&lt;5,"",ROUND((L878*25+M878*20+N878*20+O878*20+P878*15)/5,1))</x:f>
      </x:c>
      <x:c r="R878" s="18" t="str"/>
      <x:c r="S878" s="18" t="str"/>
      <x:c r="T878" s="17" t="str"/>
      <x:c r="U878" s="19"/>
    </x:row>
    <x:row r="879">
      <x:c r="A879" s="17" t="str">
        <x:v>MTS-0878</x:v>
      </x:c>
      <x:c r="B879" s="17" t="str">
        <x:v>Community Meeting Tracker</x:v>
      </x:c>
      <x:c r="C879" s="17" t="str">
        <x:v>Community and Civic</x:v>
      </x:c>
      <x:c r="D879" s="17" t="str">
        <x:v>Mobile + Web</x:v>
      </x:c>
      <x:c r="E879" s="17" t="str">
        <x:v>Neighborhoods and local groups</x:v>
      </x:c>
      <x:c r="F879" s="18" t="str">
        <x:v>Community Meeting Tracker provides a focused community and civic workflow for neighborhoods and local groups.</x:v>
      </x:c>
      <x:c r="G879" s="18" t="str">
        <x:v>Reports, Maps, Events, Notifications</x:v>
      </x:c>
      <x:c r="H879" s="17" t="str">
        <x:v>Freemium</x:v>
      </x:c>
      <x:c r="I879" s="17" t="str">
        <x:v>Medium</x:v>
      </x:c>
      <x:c r="J879" s="17" t="str">
        <x:v>New candidate</x:v>
      </x:c>
      <x:c r="K879" s="17" t="str">
        <x:v>Unreviewed</x:v>
      </x:c>
      <x:c r="L879" s="17"/>
      <x:c r="M879" s="17"/>
      <x:c r="N879" s="17"/>
      <x:c r="O879" s="17"/>
      <x:c r="P879" s="17"/>
      <x:c r="Q879" s="17" t="str">
        <x:f>IF(COUNT(L879:P879)&lt;5,"",ROUND((L879*25+M879*20+N879*20+O879*20+P879*15)/5,1))</x:f>
      </x:c>
      <x:c r="R879" s="18" t="str"/>
      <x:c r="S879" s="18" t="str"/>
      <x:c r="T879" s="17" t="str"/>
      <x:c r="U879" s="19"/>
    </x:row>
    <x:row r="880">
      <x:c r="A880" s="17" t="str">
        <x:v>MTS-0879</x:v>
      </x:c>
      <x:c r="B880" s="17" t="str">
        <x:v>Public Comment Organizer</x:v>
      </x:c>
      <x:c r="C880" s="17" t="str">
        <x:v>Community and Civic</x:v>
      </x:c>
      <x:c r="D880" s="17" t="str">
        <x:v>Mobile + Web</x:v>
      </x:c>
      <x:c r="E880" s="17" t="str">
        <x:v>Neighborhoods and local groups</x:v>
      </x:c>
      <x:c r="F880" s="18" t="str">
        <x:v>Public Comment Organizer provides a focused community and civic workflow for neighborhoods and local groups.</x:v>
      </x:c>
      <x:c r="G880" s="18" t="str">
        <x:v>Reports, Maps, Events, Notifications</x:v>
      </x:c>
      <x:c r="H880" s="17" t="str">
        <x:v>Freemium</x:v>
      </x:c>
      <x:c r="I880" s="17" t="str">
        <x:v>Medium</x:v>
      </x:c>
      <x:c r="J880" s="17" t="str">
        <x:v>New candidate</x:v>
      </x:c>
      <x:c r="K880" s="17" t="str">
        <x:v>Unreviewed</x:v>
      </x:c>
      <x:c r="L880" s="17"/>
      <x:c r="M880" s="17"/>
      <x:c r="N880" s="17"/>
      <x:c r="O880" s="17"/>
      <x:c r="P880" s="17"/>
      <x:c r="Q880" s="17" t="str">
        <x:f>IF(COUNT(L880:P880)&lt;5,"",ROUND((L880*25+M880*20+N880*20+O880*20+P880*15)/5,1))</x:f>
      </x:c>
      <x:c r="R880" s="18" t="str"/>
      <x:c r="S880" s="18" t="str"/>
      <x:c r="T880" s="17" t="str"/>
      <x:c r="U880" s="19"/>
    </x:row>
    <x:row r="881">
      <x:c r="A881" s="17" t="str">
        <x:v>MTS-0880</x:v>
      </x:c>
      <x:c r="B881" s="17" t="str">
        <x:v>Local Project Watchlist</x:v>
      </x:c>
      <x:c r="C881" s="17" t="str">
        <x:v>Community and Civic</x:v>
      </x:c>
      <x:c r="D881" s="17" t="str">
        <x:v>Mobile + Web</x:v>
      </x:c>
      <x:c r="E881" s="17" t="str">
        <x:v>Neighborhoods and local groups</x:v>
      </x:c>
      <x:c r="F881" s="18" t="str">
        <x:v>Local Project Watchlist provides a focused community and civic workflow for neighborhoods and local groups.</x:v>
      </x:c>
      <x:c r="G881" s="18" t="str">
        <x:v>Reports, Maps, Events, Notifications</x:v>
      </x:c>
      <x:c r="H881" s="17" t="str">
        <x:v>Freemium</x:v>
      </x:c>
      <x:c r="I881" s="17" t="str">
        <x:v>Medium</x:v>
      </x:c>
      <x:c r="J881" s="17" t="str">
        <x:v>New candidate</x:v>
      </x:c>
      <x:c r="K881" s="17" t="str">
        <x:v>Unreviewed</x:v>
      </x:c>
      <x:c r="L881" s="17"/>
      <x:c r="M881" s="17"/>
      <x:c r="N881" s="17"/>
      <x:c r="O881" s="17"/>
      <x:c r="P881" s="17"/>
      <x:c r="Q881" s="17" t="str">
        <x:f>IF(COUNT(L881:P881)&lt;5,"",ROUND((L881*25+M881*20+N881*20+O881*20+P881*15)/5,1))</x:f>
      </x:c>
      <x:c r="R881" s="18" t="str"/>
      <x:c r="S881" s="18" t="str"/>
      <x:c r="T881" s="17" t="str"/>
      <x:c r="U881" s="19"/>
    </x:row>
    <x:row r="882">
      <x:c r="A882" s="17" t="str">
        <x:v>MTS-0881</x:v>
      </x:c>
      <x:c r="B882" s="17" t="str">
        <x:v>Park Condition Reporter</x:v>
      </x:c>
      <x:c r="C882" s="17" t="str">
        <x:v>Community and Civic</x:v>
      </x:c>
      <x:c r="D882" s="17" t="str">
        <x:v>Mobile + Web</x:v>
      </x:c>
      <x:c r="E882" s="17" t="str">
        <x:v>Neighborhoods and local groups</x:v>
      </x:c>
      <x:c r="F882" s="18" t="str">
        <x:v>Park Condition Reporter provides a focused community and civic workflow for neighborhoods and local groups.</x:v>
      </x:c>
      <x:c r="G882" s="18" t="str">
        <x:v>Reports, Maps, Events, Notifications</x:v>
      </x:c>
      <x:c r="H882" s="17" t="str">
        <x:v>Freemium</x:v>
      </x:c>
      <x:c r="I882" s="17" t="str">
        <x:v>Medium</x:v>
      </x:c>
      <x:c r="J882" s="17" t="str">
        <x:v>New candidate</x:v>
      </x:c>
      <x:c r="K882" s="17" t="str">
        <x:v>Unreviewed</x:v>
      </x:c>
      <x:c r="L882" s="17"/>
      <x:c r="M882" s="17"/>
      <x:c r="N882" s="17"/>
      <x:c r="O882" s="17"/>
      <x:c r="P882" s="17"/>
      <x:c r="Q882" s="17" t="str">
        <x:f>IF(COUNT(L882:P882)&lt;5,"",ROUND((L882*25+M882*20+N882*20+O882*20+P882*15)/5,1))</x:f>
      </x:c>
      <x:c r="R882" s="18" t="str"/>
      <x:c r="S882" s="18" t="str"/>
      <x:c r="T882" s="17" t="str"/>
      <x:c r="U882" s="19"/>
    </x:row>
    <x:row r="883">
      <x:c r="A883" s="17" t="str">
        <x:v>MTS-0882</x:v>
      </x:c>
      <x:c r="B883" s="17" t="str">
        <x:v>Streetlight Issue Log</x:v>
      </x:c>
      <x:c r="C883" s="17" t="str">
        <x:v>Community and Civic</x:v>
      </x:c>
      <x:c r="D883" s="17" t="str">
        <x:v>Mobile + Web</x:v>
      </x:c>
      <x:c r="E883" s="17" t="str">
        <x:v>Neighborhoods and local groups</x:v>
      </x:c>
      <x:c r="F883" s="18" t="str">
        <x:v>Streetlight Issue Log provides a focused community and civic workflow for neighborhoods and local groups.</x:v>
      </x:c>
      <x:c r="G883" s="18" t="str">
        <x:v>Reports, Maps, Events, Notifications</x:v>
      </x:c>
      <x:c r="H883" s="17" t="str">
        <x:v>Freemium</x:v>
      </x:c>
      <x:c r="I883" s="17" t="str">
        <x:v>Medium</x:v>
      </x:c>
      <x:c r="J883" s="17" t="str">
        <x:v>New candidate</x:v>
      </x:c>
      <x:c r="K883" s="17" t="str">
        <x:v>Unreviewed</x:v>
      </x:c>
      <x:c r="L883" s="17"/>
      <x:c r="M883" s="17"/>
      <x:c r="N883" s="17"/>
      <x:c r="O883" s="17"/>
      <x:c r="P883" s="17"/>
      <x:c r="Q883" s="17" t="str">
        <x:f>IF(COUNT(L883:P883)&lt;5,"",ROUND((L883*25+M883*20+N883*20+O883*20+P883*15)/5,1))</x:f>
      </x:c>
      <x:c r="R883" s="18" t="str"/>
      <x:c r="S883" s="18" t="str"/>
      <x:c r="T883" s="17" t="str"/>
      <x:c r="U883" s="19"/>
    </x:row>
    <x:row r="884">
      <x:c r="A884" s="17" t="str">
        <x:v>MTS-0883</x:v>
      </x:c>
      <x:c r="B884" s="17" t="str">
        <x:v>Neighborhood Cleanup Planner</x:v>
      </x:c>
      <x:c r="C884" s="17" t="str">
        <x:v>Community and Civic</x:v>
      </x:c>
      <x:c r="D884" s="17" t="str">
        <x:v>Mobile + Web</x:v>
      </x:c>
      <x:c r="E884" s="17" t="str">
        <x:v>Neighborhoods and local groups</x:v>
      </x:c>
      <x:c r="F884" s="18" t="str">
        <x:v>Neighborhood Cleanup Planner provides a focused community and civic workflow for neighborhoods and local groups.</x:v>
      </x:c>
      <x:c r="G884" s="18" t="str">
        <x:v>Reports, Maps, Events, Notifications</x:v>
      </x:c>
      <x:c r="H884" s="17" t="str">
        <x:v>Freemium</x:v>
      </x:c>
      <x:c r="I884" s="17" t="str">
        <x:v>Medium</x:v>
      </x:c>
      <x:c r="J884" s="17" t="str">
        <x:v>New candidate</x:v>
      </x:c>
      <x:c r="K884" s="17" t="str">
        <x:v>Unreviewed</x:v>
      </x:c>
      <x:c r="L884" s="17"/>
      <x:c r="M884" s="17"/>
      <x:c r="N884" s="17"/>
      <x:c r="O884" s="17"/>
      <x:c r="P884" s="17"/>
      <x:c r="Q884" s="17" t="str">
        <x:f>IF(COUNT(L884:P884)&lt;5,"",ROUND((L884*25+M884*20+N884*20+O884*20+P884*15)/5,1))</x:f>
      </x:c>
      <x:c r="R884" s="18" t="str"/>
      <x:c r="S884" s="18" t="str"/>
      <x:c r="T884" s="17" t="str"/>
      <x:c r="U884" s="19"/>
    </x:row>
    <x:row r="885">
      <x:c r="A885" s="17" t="str">
        <x:v>MTS-0884</x:v>
      </x:c>
      <x:c r="B885" s="17" t="str">
        <x:v>Community Resource Directory</x:v>
      </x:c>
      <x:c r="C885" s="17" t="str">
        <x:v>Community and Civic</x:v>
      </x:c>
      <x:c r="D885" s="17" t="str">
        <x:v>Mobile + Web</x:v>
      </x:c>
      <x:c r="E885" s="17" t="str">
        <x:v>Neighborhoods and local groups</x:v>
      </x:c>
      <x:c r="F885" s="18" t="str">
        <x:v>Community Resource Directory provides a focused community and civic workflow for neighborhoods and local groups.</x:v>
      </x:c>
      <x:c r="G885" s="18" t="str">
        <x:v>Reports, Maps, Events, Notifications</x:v>
      </x:c>
      <x:c r="H885" s="17" t="str">
        <x:v>Freemium</x:v>
      </x:c>
      <x:c r="I885" s="17" t="str">
        <x:v>Medium</x:v>
      </x:c>
      <x:c r="J885" s="17" t="str">
        <x:v>New candidate</x:v>
      </x:c>
      <x:c r="K885" s="17" t="str">
        <x:v>Unreviewed</x:v>
      </x:c>
      <x:c r="L885" s="17"/>
      <x:c r="M885" s="17"/>
      <x:c r="N885" s="17"/>
      <x:c r="O885" s="17"/>
      <x:c r="P885" s="17"/>
      <x:c r="Q885" s="17" t="str">
        <x:f>IF(COUNT(L885:P885)&lt;5,"",ROUND((L885*25+M885*20+N885*20+O885*20+P885*15)/5,1))</x:f>
      </x:c>
      <x:c r="R885" s="18" t="str"/>
      <x:c r="S885" s="18" t="str"/>
      <x:c r="T885" s="17" t="str"/>
      <x:c r="U885" s="19"/>
    </x:row>
    <x:row r="886">
      <x:c r="A886" s="17" t="str">
        <x:v>MTS-0885</x:v>
      </x:c>
      <x:c r="B886" s="17" t="str">
        <x:v>Local Volunteer Matcher</x:v>
      </x:c>
      <x:c r="C886" s="17" t="str">
        <x:v>Community and Civic</x:v>
      </x:c>
      <x:c r="D886" s="17" t="str">
        <x:v>Mobile + Web</x:v>
      </x:c>
      <x:c r="E886" s="17" t="str">
        <x:v>Neighborhoods and local groups</x:v>
      </x:c>
      <x:c r="F886" s="18" t="str">
        <x:v>Local Volunteer Matcher provides a focused community and civic workflow for neighborhoods and local groups.</x:v>
      </x:c>
      <x:c r="G886" s="18" t="str">
        <x:v>Reports, Maps, Events, Notifications</x:v>
      </x:c>
      <x:c r="H886" s="17" t="str">
        <x:v>Freemium</x:v>
      </x:c>
      <x:c r="I886" s="17" t="str">
        <x:v>Medium</x:v>
      </x:c>
      <x:c r="J886" s="17" t="str">
        <x:v>New candidate</x:v>
      </x:c>
      <x:c r="K886" s="17" t="str">
        <x:v>Unreviewed</x:v>
      </x:c>
      <x:c r="L886" s="17"/>
      <x:c r="M886" s="17"/>
      <x:c r="N886" s="17"/>
      <x:c r="O886" s="17"/>
      <x:c r="P886" s="17"/>
      <x:c r="Q886" s="17" t="str">
        <x:f>IF(COUNT(L886:P886)&lt;5,"",ROUND((L886*25+M886*20+N886*20+O886*20+P886*15)/5,1))</x:f>
      </x:c>
      <x:c r="R886" s="18" t="str"/>
      <x:c r="S886" s="18" t="str"/>
      <x:c r="T886" s="17" t="str"/>
      <x:c r="U886" s="19"/>
    </x:row>
    <x:row r="887">
      <x:c r="A887" s="17" t="str">
        <x:v>MTS-0886</x:v>
      </x:c>
      <x:c r="B887" s="17" t="str">
        <x:v>Civic Deadline Reminder</x:v>
      </x:c>
      <x:c r="C887" s="17" t="str">
        <x:v>Community and Civic</x:v>
      </x:c>
      <x:c r="D887" s="17" t="str">
        <x:v>Mobile + Web</x:v>
      </x:c>
      <x:c r="E887" s="17" t="str">
        <x:v>Neighborhoods and local groups</x:v>
      </x:c>
      <x:c r="F887" s="18" t="str">
        <x:v>Civic Deadline Reminder provides a focused community and civic workflow for neighborhoods and local groups.</x:v>
      </x:c>
      <x:c r="G887" s="18" t="str">
        <x:v>Reports, Maps, Events, Notifications</x:v>
      </x:c>
      <x:c r="H887" s="17" t="str">
        <x:v>Freemium</x:v>
      </x:c>
      <x:c r="I887" s="17" t="str">
        <x:v>Medium</x:v>
      </x:c>
      <x:c r="J887" s="17" t="str">
        <x:v>New candidate</x:v>
      </x:c>
      <x:c r="K887" s="17" t="str">
        <x:v>Unreviewed</x:v>
      </x:c>
      <x:c r="L887" s="17"/>
      <x:c r="M887" s="17"/>
      <x:c r="N887" s="17"/>
      <x:c r="O887" s="17"/>
      <x:c r="P887" s="17"/>
      <x:c r="Q887" s="17" t="str">
        <x:f>IF(COUNT(L887:P887)&lt;5,"",ROUND((L887*25+M887*20+N887*20+O887*20+P887*15)/5,1))</x:f>
      </x:c>
      <x:c r="R887" s="18" t="str"/>
      <x:c r="S887" s="18" t="str"/>
      <x:c r="T887" s="17" t="str"/>
      <x:c r="U887" s="19"/>
    </x:row>
    <x:row r="888">
      <x:c r="A888" s="17" t="str">
        <x:v>MTS-0887</x:v>
      </x:c>
      <x:c r="B888" s="17" t="str">
        <x:v>Community Survey Builder</x:v>
      </x:c>
      <x:c r="C888" s="17" t="str">
        <x:v>Community and Civic</x:v>
      </x:c>
      <x:c r="D888" s="17" t="str">
        <x:v>Mobile + Web</x:v>
      </x:c>
      <x:c r="E888" s="17" t="str">
        <x:v>Neighborhoods and local groups</x:v>
      </x:c>
      <x:c r="F888" s="18" t="str">
        <x:v>Community Survey Builder provides a focused community and civic workflow for neighborhoods and local groups.</x:v>
      </x:c>
      <x:c r="G888" s="18" t="str">
        <x:v>Reports, Maps, Events, Notifications</x:v>
      </x:c>
      <x:c r="H888" s="17" t="str">
        <x:v>Freemium</x:v>
      </x:c>
      <x:c r="I888" s="17" t="str">
        <x:v>Medium</x:v>
      </x:c>
      <x:c r="J888" s="17" t="str">
        <x:v>New candidate</x:v>
      </x:c>
      <x:c r="K888" s="17" t="str">
        <x:v>Unreviewed</x:v>
      </x:c>
      <x:c r="L888" s="17"/>
      <x:c r="M888" s="17"/>
      <x:c r="N888" s="17"/>
      <x:c r="O888" s="17"/>
      <x:c r="P888" s="17"/>
      <x:c r="Q888" s="17" t="str">
        <x:f>IF(COUNT(L888:P888)&lt;5,"",ROUND((L888*25+M888*20+N888*20+O888*20+P888*15)/5,1))</x:f>
      </x:c>
      <x:c r="R888" s="18" t="str"/>
      <x:c r="S888" s="18" t="str"/>
      <x:c r="T888" s="17" t="str"/>
      <x:c r="U888" s="19"/>
    </x:row>
    <x:row r="889">
      <x:c r="A889" s="17" t="str">
        <x:v>MTS-0888</x:v>
      </x:c>
      <x:c r="B889" s="17" t="str">
        <x:v>Neighborhood Emergency Board</x:v>
      </x:c>
      <x:c r="C889" s="17" t="str">
        <x:v>Community and Civic</x:v>
      </x:c>
      <x:c r="D889" s="17" t="str">
        <x:v>Mobile + Web</x:v>
      </x:c>
      <x:c r="E889" s="17" t="str">
        <x:v>Neighborhoods and local groups</x:v>
      </x:c>
      <x:c r="F889" s="18" t="str">
        <x:v>Neighborhood Emergency Board provides a focused community and civic workflow for neighborhoods and local groups.</x:v>
      </x:c>
      <x:c r="G889" s="18" t="str">
        <x:v>Reports, Maps, Events, Notifications</x:v>
      </x:c>
      <x:c r="H889" s="17" t="str">
        <x:v>Freemium</x:v>
      </x:c>
      <x:c r="I889" s="17" t="str">
        <x:v>Medium</x:v>
      </x:c>
      <x:c r="J889" s="17" t="str">
        <x:v>New candidate</x:v>
      </x:c>
      <x:c r="K889" s="17" t="str">
        <x:v>Unreviewed</x:v>
      </x:c>
      <x:c r="L889" s="17"/>
      <x:c r="M889" s="17"/>
      <x:c r="N889" s="17"/>
      <x:c r="O889" s="17"/>
      <x:c r="P889" s="17"/>
      <x:c r="Q889" s="17" t="str">
        <x:f>IF(COUNT(L889:P889)&lt;5,"",ROUND((L889*25+M889*20+N889*20+O889*20+P889*15)/5,1))</x:f>
      </x:c>
      <x:c r="R889" s="18" t="str"/>
      <x:c r="S889" s="18" t="str"/>
      <x:c r="T889" s="17" t="str"/>
      <x:c r="U889" s="19"/>
    </x:row>
    <x:row r="890">
      <x:c r="A890" s="17" t="str">
        <x:v>MTS-0889</x:v>
      </x:c>
      <x:c r="B890" s="17" t="str">
        <x:v>Page Metadata Inspector</x:v>
      </x:c>
      <x:c r="C890" s="17" t="str">
        <x:v>Browser and Web Utilities</x:v>
      </x:c>
      <x:c r="D890" s="17" t="str">
        <x:v>Browser Extension</x:v>
      </x:c>
      <x:c r="E890" s="17" t="str">
        <x:v>Knowledge workers and site owners</x:v>
      </x:c>
      <x:c r="F890" s="18" t="str">
        <x:v>Page Metadata Inspector provides a focused browser and web utilities workflow for knowledge workers and site owners.</x:v>
      </x:c>
      <x:c r="G890" s="18" t="str">
        <x:v>Browser, Capture, Audit, Export</x:v>
      </x:c>
      <x:c r="H890" s="17" t="str">
        <x:v>Annual Pro</x:v>
      </x:c>
      <x:c r="I890" s="17" t="str">
        <x:v>Small</x:v>
      </x:c>
      <x:c r="J890" s="17" t="str">
        <x:v>New candidate</x:v>
      </x:c>
      <x:c r="K890" s="17" t="str">
        <x:v>Unreviewed</x:v>
      </x:c>
      <x:c r="L890" s="17"/>
      <x:c r="M890" s="17"/>
      <x:c r="N890" s="17"/>
      <x:c r="O890" s="17"/>
      <x:c r="P890" s="17"/>
      <x:c r="Q890" s="17" t="str">
        <x:f>IF(COUNT(L890:P890)&lt;5,"",ROUND((L890*25+M890*20+N890*20+O890*20+P890*15)/5,1))</x:f>
      </x:c>
      <x:c r="R890" s="18" t="str"/>
      <x:c r="S890" s="18" t="str"/>
      <x:c r="T890" s="17" t="str"/>
      <x:c r="U890" s="19"/>
    </x:row>
    <x:row r="891">
      <x:c r="A891" s="17" t="str">
        <x:v>MTS-0890</x:v>
      </x:c>
      <x:c r="B891" s="17" t="str">
        <x:v>Structured Data Viewer</x:v>
      </x:c>
      <x:c r="C891" s="17" t="str">
        <x:v>Browser and Web Utilities</x:v>
      </x:c>
      <x:c r="D891" s="17" t="str">
        <x:v>Browser Extension</x:v>
      </x:c>
      <x:c r="E891" s="17" t="str">
        <x:v>Knowledge workers and site owners</x:v>
      </x:c>
      <x:c r="F891" s="18" t="str">
        <x:v>Structured Data Viewer provides a focused browser and web utilities workflow for knowledge workers and site owners.</x:v>
      </x:c>
      <x:c r="G891" s="18" t="str">
        <x:v>Browser, Capture, Audit, Export</x:v>
      </x:c>
      <x:c r="H891" s="17" t="str">
        <x:v>Annual Pro</x:v>
      </x:c>
      <x:c r="I891" s="17" t="str">
        <x:v>Small</x:v>
      </x:c>
      <x:c r="J891" s="17" t="str">
        <x:v>New candidate</x:v>
      </x:c>
      <x:c r="K891" s="17" t="str">
        <x:v>Unreviewed</x:v>
      </x:c>
      <x:c r="L891" s="17"/>
      <x:c r="M891" s="17"/>
      <x:c r="N891" s="17"/>
      <x:c r="O891" s="17"/>
      <x:c r="P891" s="17"/>
      <x:c r="Q891" s="17" t="str">
        <x:f>IF(COUNT(L891:P891)&lt;5,"",ROUND((L891*25+M891*20+N891*20+O891*20+P891*15)/5,1))</x:f>
      </x:c>
      <x:c r="R891" s="18" t="str"/>
      <x:c r="S891" s="18" t="str"/>
      <x:c r="T891" s="17" t="str"/>
      <x:c r="U891" s="19"/>
    </x:row>
    <x:row r="892">
      <x:c r="A892" s="17" t="str">
        <x:v>MTS-0891</x:v>
      </x:c>
      <x:c r="B892" s="17" t="str">
        <x:v>Broken Link Capture</x:v>
      </x:c>
      <x:c r="C892" s="17" t="str">
        <x:v>Browser and Web Utilities</x:v>
      </x:c>
      <x:c r="D892" s="17" t="str">
        <x:v>Browser Extension</x:v>
      </x:c>
      <x:c r="E892" s="17" t="str">
        <x:v>Knowledge workers and site owners</x:v>
      </x:c>
      <x:c r="F892" s="18" t="str">
        <x:v>Broken Link Capture provides a focused browser and web utilities workflow for knowledge workers and site owners.</x:v>
      </x:c>
      <x:c r="G892" s="18" t="str">
        <x:v>Browser, Capture, Audit, Export</x:v>
      </x:c>
      <x:c r="H892" s="17" t="str">
        <x:v>Annual Pro</x:v>
      </x:c>
      <x:c r="I892" s="17" t="str">
        <x:v>Small</x:v>
      </x:c>
      <x:c r="J892" s="17" t="str">
        <x:v>New candidate</x:v>
      </x:c>
      <x:c r="K892" s="17" t="str">
        <x:v>Unreviewed</x:v>
      </x:c>
      <x:c r="L892" s="17"/>
      <x:c r="M892" s="17"/>
      <x:c r="N892" s="17"/>
      <x:c r="O892" s="17"/>
      <x:c r="P892" s="17"/>
      <x:c r="Q892" s="17" t="str">
        <x:f>IF(COUNT(L892:P892)&lt;5,"",ROUND((L892*25+M892*20+N892*20+O892*20+P892*15)/5,1))</x:f>
      </x:c>
      <x:c r="R892" s="18" t="str"/>
      <x:c r="S892" s="18" t="str"/>
      <x:c r="T892" s="17" t="str"/>
      <x:c r="U892" s="19"/>
    </x:row>
    <x:row r="893">
      <x:c r="A893" s="17" t="str">
        <x:v>MTS-0892</x:v>
      </x:c>
      <x:c r="B893" s="17" t="str">
        <x:v>Webpage Change Monitor</x:v>
      </x:c>
      <x:c r="C893" s="17" t="str">
        <x:v>Browser and Web Utilities</x:v>
      </x:c>
      <x:c r="D893" s="17" t="str">
        <x:v>Browser Extension</x:v>
      </x:c>
      <x:c r="E893" s="17" t="str">
        <x:v>Knowledge workers and site owners</x:v>
      </x:c>
      <x:c r="F893" s="18" t="str">
        <x:v>Webpage Change Monitor provides a focused browser and web utilities workflow for knowledge workers and site owners.</x:v>
      </x:c>
      <x:c r="G893" s="18" t="str">
        <x:v>Browser, Capture, Audit, Export</x:v>
      </x:c>
      <x:c r="H893" s="17" t="str">
        <x:v>Annual Pro</x:v>
      </x:c>
      <x:c r="I893" s="17" t="str">
        <x:v>Small</x:v>
      </x:c>
      <x:c r="J893" s="17" t="str">
        <x:v>New candidate</x:v>
      </x:c>
      <x:c r="K893" s="17" t="str">
        <x:v>Unreviewed</x:v>
      </x:c>
      <x:c r="L893" s="17"/>
      <x:c r="M893" s="17"/>
      <x:c r="N893" s="17"/>
      <x:c r="O893" s="17"/>
      <x:c r="P893" s="17"/>
      <x:c r="Q893" s="17" t="str">
        <x:f>IF(COUNT(L893:P893)&lt;5,"",ROUND((L893*25+M893*20+N893*20+O893*20+P893*15)/5,1))</x:f>
      </x:c>
      <x:c r="R893" s="18" t="str"/>
      <x:c r="S893" s="18" t="str"/>
      <x:c r="T893" s="17" t="str"/>
      <x:c r="U893" s="19"/>
    </x:row>
    <x:row r="894">
      <x:c r="A894" s="17" t="str">
        <x:v>MTS-0893</x:v>
      </x:c>
      <x:c r="B894" s="17" t="str">
        <x:v>Form Field Tester</x:v>
      </x:c>
      <x:c r="C894" s="17" t="str">
        <x:v>Browser and Web Utilities</x:v>
      </x:c>
      <x:c r="D894" s="17" t="str">
        <x:v>Browser Extension</x:v>
      </x:c>
      <x:c r="E894" s="17" t="str">
        <x:v>Knowledge workers and site owners</x:v>
      </x:c>
      <x:c r="F894" s="18" t="str">
        <x:v>Form Field Tester provides a focused browser and web utilities workflow for knowledge workers and site owners.</x:v>
      </x:c>
      <x:c r="G894" s="18" t="str">
        <x:v>Browser, Capture, Audit, Export</x:v>
      </x:c>
      <x:c r="H894" s="17" t="str">
        <x:v>Annual Pro</x:v>
      </x:c>
      <x:c r="I894" s="17" t="str">
        <x:v>Small</x:v>
      </x:c>
      <x:c r="J894" s="17" t="str">
        <x:v>New candidate</x:v>
      </x:c>
      <x:c r="K894" s="17" t="str">
        <x:v>Unreviewed</x:v>
      </x:c>
      <x:c r="L894" s="17"/>
      <x:c r="M894" s="17"/>
      <x:c r="N894" s="17"/>
      <x:c r="O894" s="17"/>
      <x:c r="P894" s="17"/>
      <x:c r="Q894" s="17" t="str">
        <x:f>IF(COUNT(L894:P894)&lt;5,"",ROUND((L894*25+M894*20+N894*20+O894*20+P894*15)/5,1))</x:f>
      </x:c>
      <x:c r="R894" s="18" t="str"/>
      <x:c r="S894" s="18" t="str"/>
      <x:c r="T894" s="17" t="str"/>
      <x:c r="U894" s="19"/>
    </x:row>
    <x:row r="895">
      <x:c r="A895" s="17" t="str">
        <x:v>MTS-0894</x:v>
      </x:c>
      <x:c r="B895" s="17" t="str">
        <x:v>Screenshot Evidence Extension</x:v>
      </x:c>
      <x:c r="C895" s="17" t="str">
        <x:v>Browser and Web Utilities</x:v>
      </x:c>
      <x:c r="D895" s="17" t="str">
        <x:v>Browser Extension</x:v>
      </x:c>
      <x:c r="E895" s="17" t="str">
        <x:v>Knowledge workers and site owners</x:v>
      </x:c>
      <x:c r="F895" s="18" t="str">
        <x:v>Screenshot Evidence Extension provides a focused browser and web utilities workflow for knowledge workers and site owners.</x:v>
      </x:c>
      <x:c r="G895" s="18" t="str">
        <x:v>Browser, Capture, Audit, Export</x:v>
      </x:c>
      <x:c r="H895" s="17" t="str">
        <x:v>Annual Pro</x:v>
      </x:c>
      <x:c r="I895" s="17" t="str">
        <x:v>Small</x:v>
      </x:c>
      <x:c r="J895" s="17" t="str">
        <x:v>New candidate</x:v>
      </x:c>
      <x:c r="K895" s="17" t="str">
        <x:v>Unreviewed</x:v>
      </x:c>
      <x:c r="L895" s="17"/>
      <x:c r="M895" s="17"/>
      <x:c r="N895" s="17"/>
      <x:c r="O895" s="17"/>
      <x:c r="P895" s="17"/>
      <x:c r="Q895" s="17" t="str">
        <x:f>IF(COUNT(L895:P895)&lt;5,"",ROUND((L895*25+M895*20+N895*20+O895*20+P895*15)/5,1))</x:f>
      </x:c>
      <x:c r="R895" s="18" t="str"/>
      <x:c r="S895" s="18" t="str"/>
      <x:c r="T895" s="17" t="str"/>
      <x:c r="U895" s="19"/>
    </x:row>
    <x:row r="896">
      <x:c r="A896" s="17" t="str">
        <x:v>MTS-0895</x:v>
      </x:c>
      <x:c r="B896" s="17" t="str">
        <x:v>Website Contact Extractor</x:v>
      </x:c>
      <x:c r="C896" s="17" t="str">
        <x:v>Browser and Web Utilities</x:v>
      </x:c>
      <x:c r="D896" s="17" t="str">
        <x:v>Browser Extension</x:v>
      </x:c>
      <x:c r="E896" s="17" t="str">
        <x:v>Knowledge workers and site owners</x:v>
      </x:c>
      <x:c r="F896" s="18" t="str">
        <x:v>Website Contact Extractor provides a focused browser and web utilities workflow for knowledge workers and site owners.</x:v>
      </x:c>
      <x:c r="G896" s="18" t="str">
        <x:v>Browser, Capture, Audit, Export</x:v>
      </x:c>
      <x:c r="H896" s="17" t="str">
        <x:v>Annual Pro</x:v>
      </x:c>
      <x:c r="I896" s="17" t="str">
        <x:v>Small</x:v>
      </x:c>
      <x:c r="J896" s="17" t="str">
        <x:v>New candidate</x:v>
      </x:c>
      <x:c r="K896" s="17" t="str">
        <x:v>Unreviewed</x:v>
      </x:c>
      <x:c r="L896" s="17"/>
      <x:c r="M896" s="17"/>
      <x:c r="N896" s="17"/>
      <x:c r="O896" s="17"/>
      <x:c r="P896" s="17"/>
      <x:c r="Q896" s="17" t="str">
        <x:f>IF(COUNT(L896:P896)&lt;5,"",ROUND((L896*25+M896*20+N896*20+O896*20+P896*15)/5,1))</x:f>
      </x:c>
      <x:c r="R896" s="18" t="str"/>
      <x:c r="S896" s="18" t="str"/>
      <x:c r="T896" s="17" t="str"/>
      <x:c r="U896" s="19"/>
    </x:row>
    <x:row r="897">
      <x:c r="A897" s="17" t="str">
        <x:v>MTS-0896</x:v>
      </x:c>
      <x:c r="B897" s="17" t="str">
        <x:v>Tab Session Organizer</x:v>
      </x:c>
      <x:c r="C897" s="17" t="str">
        <x:v>Browser and Web Utilities</x:v>
      </x:c>
      <x:c r="D897" s="17" t="str">
        <x:v>Browser Extension</x:v>
      </x:c>
      <x:c r="E897" s="17" t="str">
        <x:v>Knowledge workers and site owners</x:v>
      </x:c>
      <x:c r="F897" s="18" t="str">
        <x:v>Tab Session Organizer provides a focused browser and web utilities workflow for knowledge workers and site owners.</x:v>
      </x:c>
      <x:c r="G897" s="18" t="str">
        <x:v>Browser, Capture, Audit, Export</x:v>
      </x:c>
      <x:c r="H897" s="17" t="str">
        <x:v>Annual Pro</x:v>
      </x:c>
      <x:c r="I897" s="17" t="str">
        <x:v>Small</x:v>
      </x:c>
      <x:c r="J897" s="17" t="str">
        <x:v>New candidate</x:v>
      </x:c>
      <x:c r="K897" s="17" t="str">
        <x:v>Unreviewed</x:v>
      </x:c>
      <x:c r="L897" s="17"/>
      <x:c r="M897" s="17"/>
      <x:c r="N897" s="17"/>
      <x:c r="O897" s="17"/>
      <x:c r="P897" s="17"/>
      <x:c r="Q897" s="17" t="str">
        <x:f>IF(COUNT(L897:P897)&lt;5,"",ROUND((L897*25+M897*20+N897*20+O897*20+P897*15)/5,1))</x:f>
      </x:c>
      <x:c r="R897" s="18" t="str"/>
      <x:c r="S897" s="18" t="str"/>
      <x:c r="T897" s="17" t="str"/>
      <x:c r="U897" s="19"/>
    </x:row>
    <x:row r="898">
      <x:c r="A898" s="17" t="str">
        <x:v>MTS-0897</x:v>
      </x:c>
      <x:c r="B898" s="17" t="str">
        <x:v>Page Accessibility Notes</x:v>
      </x:c>
      <x:c r="C898" s="17" t="str">
        <x:v>Browser and Web Utilities</x:v>
      </x:c>
      <x:c r="D898" s="17" t="str">
        <x:v>Browser Extension</x:v>
      </x:c>
      <x:c r="E898" s="17" t="str">
        <x:v>Knowledge workers and site owners</x:v>
      </x:c>
      <x:c r="F898" s="18" t="str">
        <x:v>Page Accessibility Notes provides a focused browser and web utilities workflow for knowledge workers and site owners.</x:v>
      </x:c>
      <x:c r="G898" s="18" t="str">
        <x:v>Browser, Capture, Audit, Export</x:v>
      </x:c>
      <x:c r="H898" s="17" t="str">
        <x:v>Annual Pro</x:v>
      </x:c>
      <x:c r="I898" s="17" t="str">
        <x:v>Small</x:v>
      </x:c>
      <x:c r="J898" s="17" t="str">
        <x:v>New candidate</x:v>
      </x:c>
      <x:c r="K898" s="17" t="str">
        <x:v>Unreviewed</x:v>
      </x:c>
      <x:c r="L898" s="17"/>
      <x:c r="M898" s="17"/>
      <x:c r="N898" s="17"/>
      <x:c r="O898" s="17"/>
      <x:c r="P898" s="17"/>
      <x:c r="Q898" s="17" t="str">
        <x:f>IF(COUNT(L898:P898)&lt;5,"",ROUND((L898*25+M898*20+N898*20+O898*20+P898*15)/5,1))</x:f>
      </x:c>
      <x:c r="R898" s="18" t="str"/>
      <x:c r="S898" s="18" t="str"/>
      <x:c r="T898" s="17" t="str"/>
      <x:c r="U898" s="19"/>
    </x:row>
    <x:row r="899">
      <x:c r="A899" s="17" t="str">
        <x:v>MTS-0898</x:v>
      </x:c>
      <x:c r="B899" s="17" t="str">
        <x:v>Local SEO Page Checker</x:v>
      </x:c>
      <x:c r="C899" s="17" t="str">
        <x:v>Browser and Web Utilities</x:v>
      </x:c>
      <x:c r="D899" s="17" t="str">
        <x:v>Browser Extension</x:v>
      </x:c>
      <x:c r="E899" s="17" t="str">
        <x:v>Knowledge workers and site owners</x:v>
      </x:c>
      <x:c r="F899" s="18" t="str">
        <x:v>Local SEO Page Checker provides a focused browser and web utilities workflow for knowledge workers and site owners.</x:v>
      </x:c>
      <x:c r="G899" s="18" t="str">
        <x:v>Browser, Capture, Audit, Export</x:v>
      </x:c>
      <x:c r="H899" s="17" t="str">
        <x:v>Annual Pro</x:v>
      </x:c>
      <x:c r="I899" s="17" t="str">
        <x:v>Small</x:v>
      </x:c>
      <x:c r="J899" s="17" t="str">
        <x:v>New candidate</x:v>
      </x:c>
      <x:c r="K899" s="17" t="str">
        <x:v>Unreviewed</x:v>
      </x:c>
      <x:c r="L899" s="17"/>
      <x:c r="M899" s="17"/>
      <x:c r="N899" s="17"/>
      <x:c r="O899" s="17"/>
      <x:c r="P899" s="17"/>
      <x:c r="Q899" s="17" t="str">
        <x:f>IF(COUNT(L899:P899)&lt;5,"",ROUND((L899*25+M899*20+N899*20+O899*20+P899*15)/5,1))</x:f>
      </x:c>
      <x:c r="R899" s="18" t="str"/>
      <x:c r="S899" s="18" t="str"/>
      <x:c r="T899" s="17" t="str"/>
      <x:c r="U899" s="19"/>
    </x:row>
    <x:row r="900">
      <x:c r="A900" s="17" t="str">
        <x:v>MTS-0899</x:v>
      </x:c>
      <x:c r="B900" s="17" t="str">
        <x:v>Content Approval Extension</x:v>
      </x:c>
      <x:c r="C900" s="17" t="str">
        <x:v>Browser and Web Utilities</x:v>
      </x:c>
      <x:c r="D900" s="17" t="str">
        <x:v>Browser Extension</x:v>
      </x:c>
      <x:c r="E900" s="17" t="str">
        <x:v>Knowledge workers and site owners</x:v>
      </x:c>
      <x:c r="F900" s="18" t="str">
        <x:v>Content Approval Extension provides a focused browser and web utilities workflow for knowledge workers and site owners.</x:v>
      </x:c>
      <x:c r="G900" s="18" t="str">
        <x:v>Browser, Capture, Audit, Export</x:v>
      </x:c>
      <x:c r="H900" s="17" t="str">
        <x:v>Annual Pro</x:v>
      </x:c>
      <x:c r="I900" s="17" t="str">
        <x:v>Small</x:v>
      </x:c>
      <x:c r="J900" s="17" t="str">
        <x:v>New candidate</x:v>
      </x:c>
      <x:c r="K900" s="17" t="str">
        <x:v>Unreviewed</x:v>
      </x:c>
      <x:c r="L900" s="17"/>
      <x:c r="M900" s="17"/>
      <x:c r="N900" s="17"/>
      <x:c r="O900" s="17"/>
      <x:c r="P900" s="17"/>
      <x:c r="Q900" s="17" t="str">
        <x:f>IF(COUNT(L900:P900)&lt;5,"",ROUND((L900*25+M900*20+N900*20+O900*20+P900*15)/5,1))</x:f>
      </x:c>
      <x:c r="R900" s="18" t="str"/>
      <x:c r="S900" s="18" t="str"/>
      <x:c r="T900" s="17" t="str"/>
      <x:c r="U900" s="19"/>
    </x:row>
    <x:row r="901">
      <x:c r="A901" s="17" t="str">
        <x:v>MTS-0900</x:v>
      </x:c>
      <x:c r="B901" s="17" t="str">
        <x:v>Web Research Source Collector</x:v>
      </x:c>
      <x:c r="C901" s="17" t="str">
        <x:v>Browser and Web Utilities</x:v>
      </x:c>
      <x:c r="D901" s="17" t="str">
        <x:v>Browser Extension</x:v>
      </x:c>
      <x:c r="E901" s="17" t="str">
        <x:v>Knowledge workers and site owners</x:v>
      </x:c>
      <x:c r="F901" s="18" t="str">
        <x:v>Web Research Source Collector provides a focused browser and web utilities workflow for knowledge workers and site owners.</x:v>
      </x:c>
      <x:c r="G901" s="18" t="str">
        <x:v>Browser, Capture, Audit, Export</x:v>
      </x:c>
      <x:c r="H901" s="17" t="str">
        <x:v>Annual Pro</x:v>
      </x:c>
      <x:c r="I901" s="17" t="str">
        <x:v>Small</x:v>
      </x:c>
      <x:c r="J901" s="17" t="str">
        <x:v>New candidate</x:v>
      </x:c>
      <x:c r="K901" s="17" t="str">
        <x:v>Unreviewed</x:v>
      </x:c>
      <x:c r="L901" s="17"/>
      <x:c r="M901" s="17"/>
      <x:c r="N901" s="17"/>
      <x:c r="O901" s="17"/>
      <x:c r="P901" s="17"/>
      <x:c r="Q901" s="17" t="str">
        <x:f>IF(COUNT(L901:P901)&lt;5,"",ROUND((L901*25+M901*20+N901*20+O901*20+P901*15)/5,1))</x:f>
      </x:c>
      <x:c r="R901" s="18" t="str"/>
      <x:c r="S901" s="18" t="str"/>
      <x:c r="T901" s="17" t="str"/>
      <x:c r="U901" s="19"/>
    </x:row>
    <x:row r="902">
      <x:c r="A902" s="17" t="str">
        <x:v>MTS-0901</x:v>
      </x:c>
      <x:c r="B902" s="17" t="str">
        <x:v>Simple Proposal Builder</x:v>
      </x:c>
      <x:c r="C902" s="17" t="str">
        <x:v>Documents and Office</x:v>
      </x:c>
      <x:c r="D902" s="17" t="str">
        <x:v>Web + Desktop</x:v>
      </x:c>
      <x:c r="E902" s="17" t="str">
        <x:v>Small businesses</x:v>
      </x:c>
      <x:c r="F902" s="18" t="str">
        <x:v>Simple Proposal Builder provides a focused documents and office workflow for small businesses.</x:v>
      </x:c>
      <x:c r="G902" s="18" t="str">
        <x:v>Documents, Templates, Workflow, Export</x:v>
      </x:c>
      <x:c r="H902" s="17" t="str">
        <x:v>Subscription + Pro</x:v>
      </x:c>
      <x:c r="I902" s="17" t="str">
        <x:v>Medium</x:v>
      </x:c>
      <x:c r="J902" s="17" t="str">
        <x:v>New candidate</x:v>
      </x:c>
      <x:c r="K902" s="17" t="str">
        <x:v>Unreviewed</x:v>
      </x:c>
      <x:c r="L902" s="17"/>
      <x:c r="M902" s="17"/>
      <x:c r="N902" s="17"/>
      <x:c r="O902" s="17"/>
      <x:c r="P902" s="17"/>
      <x:c r="Q902" s="17" t="str">
        <x:f>IF(COUNT(L902:P902)&lt;5,"",ROUND((L902*25+M902*20+N902*20+O902*20+P902*15)/5,1))</x:f>
      </x:c>
      <x:c r="R902" s="18" t="str"/>
      <x:c r="S902" s="18" t="str"/>
      <x:c r="T902" s="17" t="str"/>
      <x:c r="U902" s="19"/>
    </x:row>
    <x:row r="903">
      <x:c r="A903" s="17" t="str">
        <x:v>MTS-0902</x:v>
      </x:c>
      <x:c r="B903" s="17" t="str">
        <x:v>Scope of Work Generator</x:v>
      </x:c>
      <x:c r="C903" s="17" t="str">
        <x:v>Documents and Office</x:v>
      </x:c>
      <x:c r="D903" s="17" t="str">
        <x:v>Web + Desktop</x:v>
      </x:c>
      <x:c r="E903" s="17" t="str">
        <x:v>Small businesses</x:v>
      </x:c>
      <x:c r="F903" s="18" t="str">
        <x:v>Scope of Work Generator provides a focused documents and office workflow for small businesses.</x:v>
      </x:c>
      <x:c r="G903" s="18" t="str">
        <x:v>Documents, Templates, Workflow, Export</x:v>
      </x:c>
      <x:c r="H903" s="17" t="str">
        <x:v>Subscription + Pro</x:v>
      </x:c>
      <x:c r="I903" s="17" t="str">
        <x:v>Medium</x:v>
      </x:c>
      <x:c r="J903" s="17" t="str">
        <x:v>New candidate</x:v>
      </x:c>
      <x:c r="K903" s="17" t="str">
        <x:v>Unreviewed</x:v>
      </x:c>
      <x:c r="L903" s="17"/>
      <x:c r="M903" s="17"/>
      <x:c r="N903" s="17"/>
      <x:c r="O903" s="17"/>
      <x:c r="P903" s="17"/>
      <x:c r="Q903" s="17" t="str">
        <x:f>IF(COUNT(L903:P903)&lt;5,"",ROUND((L903*25+M903*20+N903*20+O903*20+P903*15)/5,1))</x:f>
      </x:c>
      <x:c r="R903" s="18" t="str"/>
      <x:c r="S903" s="18" t="str"/>
      <x:c r="T903" s="17" t="str"/>
      <x:c r="U903" s="19"/>
    </x:row>
    <x:row r="904">
      <x:c r="A904" s="17" t="str">
        <x:v>MTS-0903</x:v>
      </x:c>
      <x:c r="B904" s="17" t="str">
        <x:v>Meeting Minutes Organizer</x:v>
      </x:c>
      <x:c r="C904" s="17" t="str">
        <x:v>Documents and Office</x:v>
      </x:c>
      <x:c r="D904" s="17" t="str">
        <x:v>Web + Desktop</x:v>
      </x:c>
      <x:c r="E904" s="17" t="str">
        <x:v>Small businesses</x:v>
      </x:c>
      <x:c r="F904" s="18" t="str">
        <x:v>Meeting Minutes Organizer provides a focused documents and office workflow for small businesses.</x:v>
      </x:c>
      <x:c r="G904" s="18" t="str">
        <x:v>Documents, Templates, Workflow, Export</x:v>
      </x:c>
      <x:c r="H904" s="17" t="str">
        <x:v>Subscription + Pro</x:v>
      </x:c>
      <x:c r="I904" s="17" t="str">
        <x:v>Medium</x:v>
      </x:c>
      <x:c r="J904" s="17" t="str">
        <x:v>New candidate</x:v>
      </x:c>
      <x:c r="K904" s="17" t="str">
        <x:v>Unreviewed</x:v>
      </x:c>
      <x:c r="L904" s="17"/>
      <x:c r="M904" s="17"/>
      <x:c r="N904" s="17"/>
      <x:c r="O904" s="17"/>
      <x:c r="P904" s="17"/>
      <x:c r="Q904" s="17" t="str">
        <x:f>IF(COUNT(L904:P904)&lt;5,"",ROUND((L904*25+M904*20+N904*20+O904*20+P904*15)/5,1))</x:f>
      </x:c>
      <x:c r="R904" s="18" t="str"/>
      <x:c r="S904" s="18" t="str"/>
      <x:c r="T904" s="17" t="str"/>
      <x:c r="U904" s="19"/>
    </x:row>
    <x:row r="905">
      <x:c r="A905" s="17" t="str">
        <x:v>MTS-0904</x:v>
      </x:c>
      <x:c r="B905" s="17" t="str">
        <x:v>Policy Review Tracker</x:v>
      </x:c>
      <x:c r="C905" s="17" t="str">
        <x:v>Documents and Office</x:v>
      </x:c>
      <x:c r="D905" s="17" t="str">
        <x:v>Web + Desktop</x:v>
      </x:c>
      <x:c r="E905" s="17" t="str">
        <x:v>Small businesses</x:v>
      </x:c>
      <x:c r="F905" s="18" t="str">
        <x:v>Policy Review Tracker provides a focused documents and office workflow for small businesses.</x:v>
      </x:c>
      <x:c r="G905" s="18" t="str">
        <x:v>Documents, Templates, Workflow, Export</x:v>
      </x:c>
      <x:c r="H905" s="17" t="str">
        <x:v>Subscription + Pro</x:v>
      </x:c>
      <x:c r="I905" s="17" t="str">
        <x:v>Medium</x:v>
      </x:c>
      <x:c r="J905" s="17" t="str">
        <x:v>New candidate</x:v>
      </x:c>
      <x:c r="K905" s="17" t="str">
        <x:v>Unreviewed</x:v>
      </x:c>
      <x:c r="L905" s="17"/>
      <x:c r="M905" s="17"/>
      <x:c r="N905" s="17"/>
      <x:c r="O905" s="17"/>
      <x:c r="P905" s="17"/>
      <x:c r="Q905" s="17" t="str">
        <x:f>IF(COUNT(L905:P905)&lt;5,"",ROUND((L905*25+M905*20+N905*20+O905*20+P905*15)/5,1))</x:f>
      </x:c>
      <x:c r="R905" s="18" t="str"/>
      <x:c r="S905" s="18" t="str"/>
      <x:c r="T905" s="17" t="str"/>
      <x:c r="U905" s="19"/>
    </x:row>
    <x:row r="906">
      <x:c r="A906" s="17" t="str">
        <x:v>MTS-0905</x:v>
      </x:c>
      <x:c r="B906" s="17" t="str">
        <x:v>Document Approval Queue</x:v>
      </x:c>
      <x:c r="C906" s="17" t="str">
        <x:v>Documents and Office</x:v>
      </x:c>
      <x:c r="D906" s="17" t="str">
        <x:v>Web + Desktop</x:v>
      </x:c>
      <x:c r="E906" s="17" t="str">
        <x:v>Small businesses</x:v>
      </x:c>
      <x:c r="F906" s="18" t="str">
        <x:v>Document Approval Queue provides a focused documents and office workflow for small businesses.</x:v>
      </x:c>
      <x:c r="G906" s="18" t="str">
        <x:v>Documents, Templates, Workflow, Export</x:v>
      </x:c>
      <x:c r="H906" s="17" t="str">
        <x:v>Subscription + Pro</x:v>
      </x:c>
      <x:c r="I906" s="17" t="str">
        <x:v>Medium</x:v>
      </x:c>
      <x:c r="J906" s="17" t="str">
        <x:v>New candidate</x:v>
      </x:c>
      <x:c r="K906" s="17" t="str">
        <x:v>Unreviewed</x:v>
      </x:c>
      <x:c r="L906" s="17"/>
      <x:c r="M906" s="17"/>
      <x:c r="N906" s="17"/>
      <x:c r="O906" s="17"/>
      <x:c r="P906" s="17"/>
      <x:c r="Q906" s="17" t="str">
        <x:f>IF(COUNT(L906:P906)&lt;5,"",ROUND((L906*25+M906*20+N906*20+O906*20+P906*15)/5,1))</x:f>
      </x:c>
      <x:c r="R906" s="18" t="str"/>
      <x:c r="S906" s="18" t="str"/>
      <x:c r="T906" s="17" t="str"/>
      <x:c r="U906" s="19"/>
    </x:row>
    <x:row r="907">
      <x:c r="A907" s="17" t="str">
        <x:v>MTS-0906</x:v>
      </x:c>
      <x:c r="B907" s="17" t="str">
        <x:v>Template Variable Manager</x:v>
      </x:c>
      <x:c r="C907" s="17" t="str">
        <x:v>Documents and Office</x:v>
      </x:c>
      <x:c r="D907" s="17" t="str">
        <x:v>Web + Desktop</x:v>
      </x:c>
      <x:c r="E907" s="17" t="str">
        <x:v>Small businesses</x:v>
      </x:c>
      <x:c r="F907" s="18" t="str">
        <x:v>Template Variable Manager provides a focused documents and office workflow for small businesses.</x:v>
      </x:c>
      <x:c r="G907" s="18" t="str">
        <x:v>Documents, Templates, Workflow, Export</x:v>
      </x:c>
      <x:c r="H907" s="17" t="str">
        <x:v>Subscription + Pro</x:v>
      </x:c>
      <x:c r="I907" s="17" t="str">
        <x:v>Medium</x:v>
      </x:c>
      <x:c r="J907" s="17" t="str">
        <x:v>New candidate</x:v>
      </x:c>
      <x:c r="K907" s="17" t="str">
        <x:v>Unreviewed</x:v>
      </x:c>
      <x:c r="L907" s="17"/>
      <x:c r="M907" s="17"/>
      <x:c r="N907" s="17"/>
      <x:c r="O907" s="17"/>
      <x:c r="P907" s="17"/>
      <x:c r="Q907" s="17" t="str">
        <x:f>IF(COUNT(L907:P907)&lt;5,"",ROUND((L907*25+M907*20+N907*20+O907*20+P907*15)/5,1))</x:f>
      </x:c>
      <x:c r="R907" s="18" t="str"/>
      <x:c r="S907" s="18" t="str"/>
      <x:c r="T907" s="17" t="str"/>
      <x:c r="U907" s="19"/>
    </x:row>
    <x:row r="908">
      <x:c r="A908" s="17" t="str">
        <x:v>MTS-0907</x:v>
      </x:c>
      <x:c r="B908" s="17" t="str">
        <x:v>Client Intake Packet Builder</x:v>
      </x:c>
      <x:c r="C908" s="17" t="str">
        <x:v>Documents and Office</x:v>
      </x:c>
      <x:c r="D908" s="17" t="str">
        <x:v>Web + Desktop</x:v>
      </x:c>
      <x:c r="E908" s="17" t="str">
        <x:v>Small businesses</x:v>
      </x:c>
      <x:c r="F908" s="18" t="str">
        <x:v>Client Intake Packet Builder provides a focused documents and office workflow for small businesses.</x:v>
      </x:c>
      <x:c r="G908" s="18" t="str">
        <x:v>Documents, Templates, Workflow, Export</x:v>
      </x:c>
      <x:c r="H908" s="17" t="str">
        <x:v>Subscription + Pro</x:v>
      </x:c>
      <x:c r="I908" s="17" t="str">
        <x:v>Medium</x:v>
      </x:c>
      <x:c r="J908" s="17" t="str">
        <x:v>New candidate</x:v>
      </x:c>
      <x:c r="K908" s="17" t="str">
        <x:v>Unreviewed</x:v>
      </x:c>
      <x:c r="L908" s="17"/>
      <x:c r="M908" s="17"/>
      <x:c r="N908" s="17"/>
      <x:c r="O908" s="17"/>
      <x:c r="P908" s="17"/>
      <x:c r="Q908" s="17" t="str">
        <x:f>IF(COUNT(L908:P908)&lt;5,"",ROUND((L908*25+M908*20+N908*20+O908*20+P908*15)/5,1))</x:f>
      </x:c>
      <x:c r="R908" s="18" t="str"/>
      <x:c r="S908" s="18" t="str"/>
      <x:c r="T908" s="17" t="str"/>
      <x:c r="U908" s="19"/>
    </x:row>
    <x:row r="909">
      <x:c r="A909" s="17" t="str">
        <x:v>MTS-0908</x:v>
      </x:c>
      <x:c r="B909" s="17" t="str">
        <x:v>PDF Evidence Organizer</x:v>
      </x:c>
      <x:c r="C909" s="17" t="str">
        <x:v>Documents and Office</x:v>
      </x:c>
      <x:c r="D909" s="17" t="str">
        <x:v>Web + Desktop</x:v>
      </x:c>
      <x:c r="E909" s="17" t="str">
        <x:v>Small businesses</x:v>
      </x:c>
      <x:c r="F909" s="18" t="str">
        <x:v>PDF Evidence Organizer provides a focused documents and office workflow for small businesses.</x:v>
      </x:c>
      <x:c r="G909" s="18" t="str">
        <x:v>Documents, Templates, Workflow, Export</x:v>
      </x:c>
      <x:c r="H909" s="17" t="str">
        <x:v>Subscription + Pro</x:v>
      </x:c>
      <x:c r="I909" s="17" t="str">
        <x:v>Medium</x:v>
      </x:c>
      <x:c r="J909" s="17" t="str">
        <x:v>New candidate</x:v>
      </x:c>
      <x:c r="K909" s="17" t="str">
        <x:v>Unreviewed</x:v>
      </x:c>
      <x:c r="L909" s="17"/>
      <x:c r="M909" s="17"/>
      <x:c r="N909" s="17"/>
      <x:c r="O909" s="17"/>
      <x:c r="P909" s="17"/>
      <x:c r="Q909" s="17" t="str">
        <x:f>IF(COUNT(L909:P909)&lt;5,"",ROUND((L909*25+M909*20+N909*20+O909*20+P909*15)/5,1))</x:f>
      </x:c>
      <x:c r="R909" s="18" t="str"/>
      <x:c r="S909" s="18" t="str"/>
      <x:c r="T909" s="17" t="str"/>
      <x:c r="U909" s="19"/>
    </x:row>
    <x:row r="910">
      <x:c r="A910" s="17" t="str">
        <x:v>MTS-0909</x:v>
      </x:c>
      <x:c r="B910" s="17" t="str">
        <x:v>Contract Renewal Reminder</x:v>
      </x:c>
      <x:c r="C910" s="17" t="str">
        <x:v>Documents and Office</x:v>
      </x:c>
      <x:c r="D910" s="17" t="str">
        <x:v>Web + Desktop</x:v>
      </x:c>
      <x:c r="E910" s="17" t="str">
        <x:v>Small businesses</x:v>
      </x:c>
      <x:c r="F910" s="18" t="str">
        <x:v>Contract Renewal Reminder provides a focused documents and office workflow for small businesses.</x:v>
      </x:c>
      <x:c r="G910" s="18" t="str">
        <x:v>Documents, Templates, Workflow, Export</x:v>
      </x:c>
      <x:c r="H910" s="17" t="str">
        <x:v>Subscription + Pro</x:v>
      </x:c>
      <x:c r="I910" s="17" t="str">
        <x:v>Medium</x:v>
      </x:c>
      <x:c r="J910" s="17" t="str">
        <x:v>New candidate</x:v>
      </x:c>
      <x:c r="K910" s="17" t="str">
        <x:v>Unreviewed</x:v>
      </x:c>
      <x:c r="L910" s="17"/>
      <x:c r="M910" s="17"/>
      <x:c r="N910" s="17"/>
      <x:c r="O910" s="17"/>
      <x:c r="P910" s="17"/>
      <x:c r="Q910" s="17" t="str">
        <x:f>IF(COUNT(L910:P910)&lt;5,"",ROUND((L910*25+M910*20+N910*20+O910*20+P910*15)/5,1))</x:f>
      </x:c>
      <x:c r="R910" s="18" t="str"/>
      <x:c r="S910" s="18" t="str"/>
      <x:c r="T910" s="17" t="str"/>
      <x:c r="U910" s="19"/>
    </x:row>
    <x:row r="911">
      <x:c r="A911" s="17" t="str">
        <x:v>MTS-0910</x:v>
      </x:c>
      <x:c r="B911" s="17" t="str">
        <x:v>Document Version Register</x:v>
      </x:c>
      <x:c r="C911" s="17" t="str">
        <x:v>Documents and Office</x:v>
      </x:c>
      <x:c r="D911" s="17" t="str">
        <x:v>Web + Desktop</x:v>
      </x:c>
      <x:c r="E911" s="17" t="str">
        <x:v>Small businesses</x:v>
      </x:c>
      <x:c r="F911" s="18" t="str">
        <x:v>Document Version Register provides a focused documents and office workflow for small businesses.</x:v>
      </x:c>
      <x:c r="G911" s="18" t="str">
        <x:v>Documents, Templates, Workflow, Export</x:v>
      </x:c>
      <x:c r="H911" s="17" t="str">
        <x:v>Subscription + Pro</x:v>
      </x:c>
      <x:c r="I911" s="17" t="str">
        <x:v>Medium</x:v>
      </x:c>
      <x:c r="J911" s="17" t="str">
        <x:v>New candidate</x:v>
      </x:c>
      <x:c r="K911" s="17" t="str">
        <x:v>Unreviewed</x:v>
      </x:c>
      <x:c r="L911" s="17"/>
      <x:c r="M911" s="17"/>
      <x:c r="N911" s="17"/>
      <x:c r="O911" s="17"/>
      <x:c r="P911" s="17"/>
      <x:c r="Q911" s="17" t="str">
        <x:f>IF(COUNT(L911:P911)&lt;5,"",ROUND((L911*25+M911*20+N911*20+O911*20+P911*15)/5,1))</x:f>
      </x:c>
      <x:c r="R911" s="18" t="str"/>
      <x:c r="S911" s="18" t="str"/>
      <x:c r="T911" s="17" t="str"/>
      <x:c r="U911" s="19"/>
    </x:row>
    <x:row r="912">
      <x:c r="A912" s="17" t="str">
        <x:v>MTS-0911</x:v>
      </x:c>
      <x:c r="B912" s="17" t="str">
        <x:v>Business Letter Builder</x:v>
      </x:c>
      <x:c r="C912" s="17" t="str">
        <x:v>Documents and Office</x:v>
      </x:c>
      <x:c r="D912" s="17" t="str">
        <x:v>Web + Desktop</x:v>
      </x:c>
      <x:c r="E912" s="17" t="str">
        <x:v>Small businesses</x:v>
      </x:c>
      <x:c r="F912" s="18" t="str">
        <x:v>Business Letter Builder provides a focused documents and office workflow for small businesses.</x:v>
      </x:c>
      <x:c r="G912" s="18" t="str">
        <x:v>Documents, Templates, Workflow, Export</x:v>
      </x:c>
      <x:c r="H912" s="17" t="str">
        <x:v>Subscription + Pro</x:v>
      </x:c>
      <x:c r="I912" s="17" t="str">
        <x:v>Medium</x:v>
      </x:c>
      <x:c r="J912" s="17" t="str">
        <x:v>New candidate</x:v>
      </x:c>
      <x:c r="K912" s="17" t="str">
        <x:v>Unreviewed</x:v>
      </x:c>
      <x:c r="L912" s="17"/>
      <x:c r="M912" s="17"/>
      <x:c r="N912" s="17"/>
      <x:c r="O912" s="17"/>
      <x:c r="P912" s="17"/>
      <x:c r="Q912" s="17" t="str">
        <x:f>IF(COUNT(L912:P912)&lt;5,"",ROUND((L912*25+M912*20+N912*20+O912*20+P912*15)/5,1))</x:f>
      </x:c>
      <x:c r="R912" s="18" t="str"/>
      <x:c r="S912" s="18" t="str"/>
      <x:c r="T912" s="17" t="str"/>
      <x:c r="U912" s="19"/>
    </x:row>
    <x:row r="913">
      <x:c r="A913" s="17" t="str">
        <x:v>MTS-0912</x:v>
      </x:c>
      <x:c r="B913" s="17" t="str">
        <x:v>Records Request Tracker</x:v>
      </x:c>
      <x:c r="C913" s="17" t="str">
        <x:v>Documents and Office</x:v>
      </x:c>
      <x:c r="D913" s="17" t="str">
        <x:v>Web + Desktop</x:v>
      </x:c>
      <x:c r="E913" s="17" t="str">
        <x:v>Small businesses</x:v>
      </x:c>
      <x:c r="F913" s="18" t="str">
        <x:v>Records Request Tracker provides a focused documents and office workflow for small businesses.</x:v>
      </x:c>
      <x:c r="G913" s="18" t="str">
        <x:v>Documents, Templates, Workflow, Export</x:v>
      </x:c>
      <x:c r="H913" s="17" t="str">
        <x:v>Subscription + Pro</x:v>
      </x:c>
      <x:c r="I913" s="17" t="str">
        <x:v>Medium</x:v>
      </x:c>
      <x:c r="J913" s="17" t="str">
        <x:v>New candidate</x:v>
      </x:c>
      <x:c r="K913" s="17" t="str">
        <x:v>Unreviewed</x:v>
      </x:c>
      <x:c r="L913" s="17"/>
      <x:c r="M913" s="17"/>
      <x:c r="N913" s="17"/>
      <x:c r="O913" s="17"/>
      <x:c r="P913" s="17"/>
      <x:c r="Q913" s="17" t="str">
        <x:f>IF(COUNT(L913:P913)&lt;5,"",ROUND((L913*25+M913*20+N913*20+O913*20+P913*15)/5,1))</x:f>
      </x:c>
      <x:c r="R913" s="18" t="str"/>
      <x:c r="S913" s="18" t="str"/>
      <x:c r="T913" s="17" t="str"/>
      <x:c r="U913" s="19"/>
    </x:row>
  </x:sheetData>
  <x:conditionalFormatting sqref="Q2:Q913">
    <x:cfRule type="colorScale" priority="1">
      <x:colorScale>
        <x:cfvo type="min"/>
        <x:cfvo type="percentile" val="50"/>
        <x:cfvo type="max"/>
        <x:color rgb="FFF4A261"/>
        <x:color rgb="FFFFF4CC"/>
        <x:color rgb="FF2A9D8F"/>
      </x:colorScale>
    </x:cfRule>
  </x:conditionalFormatting>
  <x:conditionalFormatting sqref="J2:J913">
    <x:cfRule type="containsText" dxfId="0" priority="2" operator="containsText" text="Existing"/>
  </x:conditionalFormatting>
  <x:conditionalFormatting sqref="K2:K913">
    <x:cfRule type="containsText" dxfId="1" priority="3" operator="containsText" text="Build"/>
    <x:cfRule type="containsText" dxfId="2" priority="4" operator="containsText" text="Pass"/>
  </x:conditionalFormatting>
  <x:dataValidations count="6">
    <x:dataValidation type="list" sqref="K2:K913">
      <x:formula1>"Unreviewed,Build,Wait,Merge,Pass"</x:formula1>
    </x:dataValidation>
    <x:dataValidation type="whole" operator="between" sqref="L2:L913">
      <x:formula1>1</x:formula1>
      <x:formula2>5</x:formula2>
    </x:dataValidation>
    <x:dataValidation type="whole" operator="between" sqref="M2:M913">
      <x:formula1>1</x:formula1>
      <x:formula2>5</x:formula2>
    </x:dataValidation>
    <x:dataValidation type="whole" operator="between" sqref="N2:N913">
      <x:formula1>1</x:formula1>
      <x:formula2>5</x:formula2>
    </x:dataValidation>
    <x:dataValidation type="whole" operator="between" sqref="O2:O913">
      <x:formula1>1</x:formula1>
      <x:formula2>5</x:formula2>
    </x:dataValidation>
    <x:dataValidation type="whole" operator="between" sqref="P2:P9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c81723cc2f4e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19" hidden="0" customWidth="1"/>
    <x:col min="4" max="4" width="46" hidden="0" customWidth="1"/>
    <x:col min="5" max="5" width="13" hidden="0" customWidth="1"/>
    <x:col min="6" max="6" width="47" hidden="0" customWidth="1"/>
    <x:col min="7" max="7" width="17" hidden="0" customWidth="1"/>
    <x:col min="8" max="8" width="12" hidden="0" customWidth="1"/>
  </x:cols>
  <x:sheetData>
    <x:row r="1" ht="34" customHeight="1">
      <x:c r="A1" s="21" t="str">
        <x:v>Security, Privacy, and Device Care Priority Shortlist</x:v>
      </x:c>
      <x:c r="B1" s="21"/>
      <x:c r="C1" s="21"/>
      <x:c r="D1" s="21"/>
      <x:c r="E1" s="21"/>
      <x:c r="F1" s="21"/>
      <x:c r="G1" s="21"/>
      <x:c r="H1" s="21"/>
    </x:row>
    <x:row r="3">
      <x:c r="A3" s="22" t="str">
        <x:v>Sector direction</x:v>
      </x:c>
      <x:c r="B3" s="11" t="str">
        <x:v>Build focused, honest utilities first. Combine them into a broader Maxxed Device Care suite only after individual workflows are validated.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22" t="str">
        <x:v>Platform boundary</x:v>
      </x:c>
      <x:c r="B4" s="11" t="str">
        <x:v>Mobile cleanup can manage user-authorized content and guide system actions. It cannot promise universal cache clearing, RAM boosting, antivirus protection, or unrestricted iOS filesystem access.</x:v>
      </x:c>
      <x:c r="C4" s="11" t="str"/>
      <x:c r="D4" s="11" t="str"/>
      <x:c r="E4" s="11" t="str"/>
      <x:c r="F4" s="11" t="str"/>
      <x:c r="G4" s="11" t="str"/>
      <x:c r="H4" s="11" t="str"/>
    </x:row>
    <x:row r="6">
      <x:c r="A6" s="24" t="str">
        <x:v>Product</x:v>
      </x:c>
      <x:c r="B6" s="24" t="str">
        <x:v>Family</x:v>
      </x:c>
      <x:c r="C6" s="24" t="str">
        <x:v>Best first platform</x:v>
      </x:c>
      <x:c r="D6" s="24" t="str">
        <x:v>Practical MVP</x:v>
      </x:c>
      <x:c r="E6" s="24" t="str">
        <x:v>Feasibility</x:v>
      </x:c>
      <x:c r="F6" s="24" t="str">
        <x:v>Primary constraint</x:v>
      </x:c>
      <x:c r="G6" s="24" t="str">
        <x:v>Recommended phase</x:v>
      </x:c>
      <x:c r="H6" s="24" t="str">
        <x:v>Effort</x:v>
      </x:c>
    </x:row>
    <x:row r="7">
      <x:c r="A7" s="18" t="str">
        <x:v>Storage Cleanup Assistant</x:v>
      </x:c>
      <x:c r="B7" s="18" t="str">
        <x:v>Device Cleanup and Maintenance</x:v>
      </x:c>
      <x:c r="C7" s="18" t="str">
        <x:v>Android</x:v>
      </x:c>
      <x:c r="D7" s="18" t="str">
        <x:v>Storage overview, safe file categories, review-first cleanup</x:v>
      </x:c>
      <x:c r="E7" s="18" t="str">
        <x:v>High</x:v>
      </x:c>
      <x:c r="F7" s="18" t="str">
        <x:v>Scoped storage limits access to some folders</x:v>
      </x:c>
      <x:c r="G7" s="18" t="str">
        <x:v>Phase 1</x:v>
      </x:c>
      <x:c r="H7" s="18" t="str">
        <x:v>Small</x:v>
      </x:c>
    </x:row>
    <x:row r="8">
      <x:c r="A8" s="18" t="str">
        <x:v>Large File Finder</x:v>
      </x:c>
      <x:c r="B8" s="18" t="str">
        <x:v>Device Cleanup and Maintenance</x:v>
      </x:c>
      <x:c r="C8" s="18" t="str">
        <x:v>Android + Desktop</x:v>
      </x:c>
      <x:c r="D8" s="18" t="str">
        <x:v>Find, sort, preview, and remove user-accessible large files</x:v>
      </x:c>
      <x:c r="E8" s="18" t="str">
        <x:v>High</x:v>
      </x:c>
      <x:c r="F8" s="18" t="str">
        <x:v>Deletion must remain explicit and reversible where possible</x:v>
      </x:c>
      <x:c r="G8" s="18" t="str">
        <x:v>Phase 1</x:v>
      </x:c>
      <x:c r="H8" s="18" t="str">
        <x:v>Small</x:v>
      </x:c>
    </x:row>
    <x:row r="9">
      <x:c r="A9" s="18" t="str">
        <x:v>Screenshot Cleanup Assistant</x:v>
      </x:c>
      <x:c r="B9" s="18" t="str">
        <x:v>Device Cleanup and Maintenance</x:v>
      </x:c>
      <x:c r="C9" s="18" t="str">
        <x:v>Android + iOS</x:v>
      </x:c>
      <x:c r="D9" s="18" t="str">
        <x:v>Filter old screenshots and review batches before deletion</x:v>
      </x:c>
      <x:c r="E9" s="18" t="str">
        <x:v>High</x:v>
      </x:c>
      <x:c r="F9" s="18" t="str">
        <x:v>Media permissions and store privacy disclosures</x:v>
      </x:c>
      <x:c r="G9" s="18" t="str">
        <x:v>Phase 1</x:v>
      </x:c>
      <x:c r="H9" s="18" t="str">
        <x:v>Small</x:v>
      </x:c>
    </x:row>
    <x:row r="10">
      <x:c r="A10" s="18" t="str">
        <x:v>App Permission Auditor</x:v>
      </x:c>
      <x:c r="B10" s="18" t="str">
        <x:v>Security and Privacy</x:v>
      </x:c>
      <x:c r="C10" s="18" t="str">
        <x:v>Android</x:v>
      </x:c>
      <x:c r="D10" s="18" t="str">
        <x:v>Permission inventory, risk explanations, settings shortcuts</x:v>
      </x:c>
      <x:c r="E10" s="18" t="str">
        <x:v>High</x:v>
      </x:c>
      <x:c r="F10" s="18" t="str">
        <x:v>iOS cannot expose an equivalent full app inventory</x:v>
      </x:c>
      <x:c r="G10" s="18" t="str">
        <x:v>Phase 1</x:v>
      </x:c>
      <x:c r="H10" s="18" t="str">
        <x:v>Small</x:v>
      </x:c>
    </x:row>
    <x:row r="11">
      <x:c r="A11" s="18" t="str">
        <x:v>Privacy Settings Coach</x:v>
      </x:c>
      <x:c r="B11" s="18" t="str">
        <x:v>Security and Privacy</x:v>
      </x:c>
      <x:c r="C11" s="18" t="str">
        <x:v>Android + iOS</x:v>
      </x:c>
      <x:c r="D11" s="18" t="str">
        <x:v>Versioned privacy checklists and direct settings guidance</x:v>
      </x:c>
      <x:c r="E11" s="18" t="str">
        <x:v>High</x:v>
      </x:c>
      <x:c r="F11" s="18" t="str">
        <x:v>OS changes require content maintenance</x:v>
      </x:c>
      <x:c r="G11" s="18" t="str">
        <x:v>Phase 1</x:v>
      </x:c>
      <x:c r="H11" s="18" t="str">
        <x:v>Small</x:v>
      </x:c>
    </x:row>
    <x:row r="12">
      <x:c r="A12" s="18" t="str">
        <x:v>Family Cyber Safety Checkup</x:v>
      </x:c>
      <x:c r="B12" s="18" t="str">
        <x:v>Security and Privacy</x:v>
      </x:c>
      <x:c r="C12" s="18" t="str">
        <x:v>Android + iOS</x:v>
      </x:c>
      <x:c r="D12" s="18" t="str">
        <x:v>Profiles, guided checks, reminders, and printable action report</x:v>
      </x:c>
      <x:c r="E12" s="18" t="str">
        <x:v>High</x:v>
      </x:c>
      <x:c r="F12" s="18" t="str">
        <x:v>Must avoid guarantees or alarmist scoring</x:v>
      </x:c>
      <x:c r="G12" s="18" t="str">
        <x:v>Phase 1</x:v>
      </x:c>
      <x:c r="H12" s="18" t="str">
        <x:v>Small</x:v>
      </x:c>
    </x:row>
    <x:row r="13">
      <x:c r="A13" s="18" t="str">
        <x:v>Duplicate Photo Finder</x:v>
      </x:c>
      <x:c r="B13" s="18" t="str">
        <x:v>Device Cleanup and Maintenance</x:v>
      </x:c>
      <x:c r="C13" s="18" t="str">
        <x:v>Android + iOS</x:v>
      </x:c>
      <x:c r="D13" s="18" t="str">
        <x:v>Exact and similar-image groups with confirmation workflow</x:v>
      </x:c>
      <x:c r="E13" s="18" t="str">
        <x:v>High</x:v>
      </x:c>
      <x:c r="F13" s="18" t="str">
        <x:v>Perceptual matching quality and destructive-action safeguards</x:v>
      </x:c>
      <x:c r="G13" s="18" t="str">
        <x:v>Phase 2</x:v>
      </x:c>
      <x:c r="H13" s="18" t="str">
        <x:v>Medium</x:v>
      </x:c>
    </x:row>
    <x:row r="14">
      <x:c r="A14" s="18" t="str">
        <x:v>Downloads Folder Organizer</x:v>
      </x:c>
      <x:c r="B14" s="18" t="str">
        <x:v>Device Cleanup and Maintenance</x:v>
      </x:c>
      <x:c r="C14" s="18" t="str">
        <x:v>Android + Desktop</x:v>
      </x:c>
      <x:c r="D14" s="18" t="str">
        <x:v>Categorize and clean a user-selected downloads folder</x:v>
      </x:c>
      <x:c r="E14" s="18" t="str">
        <x:v>High</x:v>
      </x:c>
      <x:c r="F14" s="18" t="str">
        <x:v>iOS offers only document-picker access</x:v>
      </x:c>
      <x:c r="G14" s="18" t="str">
        <x:v>Phase 2</x:v>
      </x:c>
      <x:c r="H14" s="18" t="str">
        <x:v>Small</x:v>
      </x:c>
    </x:row>
    <x:row r="15">
      <x:c r="A15" s="18" t="str">
        <x:v>QR and Link Safety Scanner</x:v>
      </x:c>
      <x:c r="B15" s="18" t="str">
        <x:v>Security and Privacy</x:v>
      </x:c>
      <x:c r="C15" s="18" t="str">
        <x:v>Android + iOS</x:v>
      </x:c>
      <x:c r="D15" s="18" t="str">
        <x:v>Parse destinations, flag suspicious patterns, optional reputation lookup</x:v>
      </x:c>
      <x:c r="E15" s="18" t="str">
        <x:v>Medium</x:v>
      </x:c>
      <x:c r="F15" s="18" t="str">
        <x:v>False positives and third-party reputation API costs</x:v>
      </x:c>
      <x:c r="G15" s="18" t="str">
        <x:v>Phase 2</x:v>
      </x:c>
      <x:c r="H15" s="18" t="str">
        <x:v>Medium</x:v>
      </x:c>
    </x:row>
    <x:row r="16">
      <x:c r="A16" s="18" t="str">
        <x:v>WiFi Security Check</x:v>
      </x:c>
      <x:c r="B16" s="18" t="str">
        <x:v>Security and Privacy</x:v>
      </x:c>
      <x:c r="C16" s="18" t="str">
        <x:v>Android + Desktop</x:v>
      </x:c>
      <x:c r="D16" s="18" t="str">
        <x:v>Connection facts, encryption hints, router-hardening checklist</x:v>
      </x:c>
      <x:c r="E16" s="18" t="str">
        <x:v>Medium</x:v>
      </x:c>
      <x:c r="F16" s="18" t="str">
        <x:v>Cannot guarantee that a network is secure</x:v>
      </x:c>
      <x:c r="G16" s="18" t="str">
        <x:v>Phase 2</x:v>
      </x:c>
      <x:c r="H16" s="18" t="str">
        <x:v>Medium</x:v>
      </x:c>
    </x:row>
    <x:row r="17">
      <x:c r="A17" s="18" t="str">
        <x:v>Home Network Device Scanner</x:v>
      </x:c>
      <x:c r="B17" s="18" t="str">
        <x:v>Security and Privacy</x:v>
      </x:c>
      <x:c r="C17" s="18" t="str">
        <x:v>Android + Desktop</x:v>
      </x:c>
      <x:c r="D17" s="18" t="str">
        <x:v>Discover local devices and track unfamiliar changes</x:v>
      </x:c>
      <x:c r="E17" s="18" t="str">
        <x:v>Medium</x:v>
      </x:c>
      <x:c r="F17" s="18" t="str">
        <x:v>Local-network permissions and router client isolation</x:v>
      </x:c>
      <x:c r="G17" s="18" t="str">
        <x:v>Phase 2</x:v>
      </x:c>
      <x:c r="H17" s="18" t="str">
        <x:v>Medium</x:v>
      </x:c>
    </x:row>
    <x:row r="18">
      <x:c r="A18" s="18" t="str">
        <x:v>Cache Cleanup Guide</x:v>
      </x:c>
      <x:c r="B18" s="18" t="str">
        <x:v>Device Cleanup and Maintenance</x:v>
      </x:c>
      <x:c r="C18" s="18" t="str">
        <x:v>Android</x:v>
      </x:c>
      <x:c r="D18" s="18" t="str">
        <x:v>Per-app storage overview and shortcuts to system cleanup settings</x:v>
      </x:c>
      <x:c r="E18" s="18" t="str">
        <x:v>High</x:v>
      </x:c>
      <x:c r="F18" s="18" t="str">
        <x:v>Cannot silently clear other apps' caches</x:v>
      </x:c>
      <x:c r="G18" s="18" t="str">
        <x:v>Phase 2</x:v>
      </x:c>
      <x:c r="H18" s="18" t="str">
        <x:v>Small</x:v>
      </x:c>
    </x:row>
    <x:row r="19">
      <x:c r="A19" s="18" t="str">
        <x:v>App Usage and Uninstall Planner</x:v>
      </x:c>
      <x:c r="B19" s="18" t="str">
        <x:v>Device Cleanup and Maintenance</x:v>
      </x:c>
      <x:c r="C19" s="18" t="str">
        <x:v>Android</x:v>
      </x:c>
      <x:c r="D19" s="18" t="str">
        <x:v>Opt-in usage analysis and guided uninstall decisions</x:v>
      </x:c>
      <x:c r="E19" s="18" t="str">
        <x:v>Medium</x:v>
      </x:c>
      <x:c r="F19" s="18" t="str">
        <x:v>Sensitive Usage Access permission; limited iOS equivalent</x:v>
      </x:c>
      <x:c r="G19" s="18" t="str">
        <x:v>Phase 2</x:v>
      </x:c>
      <x:c r="H19" s="18" t="str">
        <x:v>Medium</x:v>
      </x:c>
    </x:row>
    <x:row r="20">
      <x:c r="A20" s="18" t="str">
        <x:v>Device Security Scorecard</x:v>
      </x:c>
      <x:c r="B20" s="18" t="str">
        <x:v>Security and Privacy</x:v>
      </x:c>
      <x:c r="C20" s="18" t="str">
        <x:v>Android + Desktop</x:v>
      </x:c>
      <x:c r="D20" s="18" t="str">
        <x:v>Explainable checklist-based posture report with action items</x:v>
      </x:c>
      <x:c r="E20" s="18" t="str">
        <x:v>Medium</x:v>
      </x:c>
      <x:c r="F20" s="18" t="str">
        <x:v>A single score can create false confidence</x:v>
      </x:c>
      <x:c r="G20" s="18" t="str">
        <x:v>Phase 3</x:v>
      </x:c>
      <x:c r="H20" s="18" t="str">
        <x:v>Medium</x:v>
      </x:c>
    </x:row>
    <x:row r="21">
      <x:c r="A21" s="18" t="str">
        <x:v>Security Update Tracker</x:v>
      </x:c>
      <x:c r="B21" s="18" t="str">
        <x:v>Security and Privacy</x:v>
      </x:c>
      <x:c r="C21" s="18" t="str">
        <x:v>Desktop + Android</x:v>
      </x:c>
      <x:c r="D21" s="18" t="str">
        <x:v>OS status and selected software update reminders</x:v>
      </x:c>
      <x:c r="E21" s="18" t="str">
        <x:v>Medium</x:v>
      </x:c>
      <x:c r="F21" s="18" t="str">
        <x:v>Reliable cross-platform application coverage is costly</x:v>
      </x:c>
      <x:c r="G21" s="18" t="str">
        <x:v>Phase 3</x:v>
      </x:c>
      <x:c r="H21" s="18" t="str">
        <x:v>Medium</x:v>
      </x:c>
    </x:row>
    <x:row r="22">
      <x:c r="A22" s="18" t="str">
        <x:v>Breach Alert Organizer</x:v>
      </x:c>
      <x:c r="B22" s="18" t="str">
        <x:v>Security and Privacy</x:v>
      </x:c>
      <x:c r="C22" s="18" t="str">
        <x:v>Web + Mobile</x:v>
      </x:c>
      <x:c r="D22" s="18" t="str">
        <x:v>Privacy-preserving monitored identifiers and remediation workflow</x:v>
      </x:c>
      <x:c r="E22" s="18" t="str">
        <x:v>Medium</x:v>
      </x:c>
      <x:c r="F22" s="18" t="str">
        <x:v>Requires reputable breach data and secure backend handling</x:v>
      </x:c>
      <x:c r="G22" s="18" t="str">
        <x:v>Phase 3</x:v>
      </x:c>
      <x:c r="H22" s="18" t="str">
        <x:v>Medium</x:v>
      </x:c>
    </x:row>
    <x:row r="23">
      <x:c r="A23" s="18" t="str">
        <x:v>Password Health Checklist</x:v>
      </x:c>
      <x:c r="B23" s="18" t="str">
        <x:v>Security and Privacy</x:v>
      </x:c>
      <x:c r="C23" s="18" t="str">
        <x:v>Android + iOS</x:v>
      </x:c>
      <x:c r="D23" s="18" t="str">
        <x:v>Local education and account-by-account hygiene checklist</x:v>
      </x:c>
      <x:c r="E23" s="18" t="str">
        <x:v>High</x:v>
      </x:c>
      <x:c r="F23" s="18" t="str">
        <x:v>Never collect raw passwords in the basic product</x:v>
      </x:c>
      <x:c r="G23" s="18" t="str">
        <x:v>Phase 3</x:v>
      </x:c>
      <x:c r="H23" s="18" t="str">
        <x:v>Small</x:v>
      </x:c>
    </x:row>
    <x:row r="24">
      <x:c r="A24" s="18" t="str">
        <x:v>Account Recovery Binder</x:v>
      </x:c>
      <x:c r="B24" s="18" t="str">
        <x:v>Security and Privacy</x:v>
      </x:c>
      <x:c r="C24" s="18" t="str">
        <x:v>Android + iOS</x:v>
      </x:c>
      <x:c r="D24" s="18" t="str">
        <x:v>Encrypted local recovery-plan records and emergency export</x:v>
      </x:c>
      <x:c r="E24" s="18" t="str">
        <x:v>Medium</x:v>
      </x:c>
      <x:c r="F24" s="18" t="str">
        <x:v>Encryption design and recovery UX require security review</x:v>
      </x:c>
      <x:c r="G24" s="18" t="str">
        <x:v>Phase 3</x:v>
      </x:c>
      <x:c r="H24" s="18" t="str">
        <x:v>Medium</x:v>
      </x:c>
    </x:row>
    <x:row r="25">
      <x:c r="A25" s="18" t="str">
        <x:v>Duplicate Contact Cleaner</x:v>
      </x:c>
      <x:c r="B25" s="18" t="str">
        <x:v>Device Cleanup and Maintenance</x:v>
      </x:c>
      <x:c r="C25" s="18" t="str">
        <x:v>Android + iOS</x:v>
      </x:c>
      <x:c r="D25" s="18" t="str">
        <x:v>Backup, match suggestions, merge preview, and undo log</x:v>
      </x:c>
      <x:c r="E25" s="18" t="str">
        <x:v>Medium</x:v>
      </x:c>
      <x:c r="F25" s="18" t="str">
        <x:v>High trust and irreversible data-loss risk</x:v>
      </x:c>
      <x:c r="G25" s="18" t="str">
        <x:v>Phase 3</x:v>
      </x:c>
      <x:c r="H25" s="18" t="str">
        <x:v>Medium</x:v>
      </x:c>
    </x:row>
    <x:row r="26">
      <x:c r="A26" s="18" t="str">
        <x:v>Desktop Disk Cleanup Planner</x:v>
      </x:c>
      <x:c r="B26" s="18" t="str">
        <x:v>Device Cleanup and Maintenance</x:v>
      </x:c>
      <x:c r="C26" s="18" t="str">
        <x:v>Windows first</x:v>
      </x:c>
      <x:c r="D26" s="18" t="str">
        <x:v>Dry-run scan of safe locations with allowlists and restore record</x:v>
      </x:c>
      <x:c r="E26" s="18" t="str">
        <x:v>High</x:v>
      </x:c>
      <x:c r="F26" s="18" t="str">
        <x:v>Platform-specific filesystem rules and code signing</x:v>
      </x:c>
      <x:c r="G26" s="18" t="str">
        <x:v>Phase 3</x:v>
      </x:c>
      <x:c r="H26" s="18" t="str">
        <x:v>Medium</x:v>
      </x:c>
    </x:row>
    <x:row r="27">
      <x:c r="A27" s="18" t="str">
        <x:v>Desktop Startup Manager</x:v>
      </x:c>
      <x:c r="B27" s="18" t="str">
        <x:v>Device Cleanup and Maintenance</x:v>
      </x:c>
      <x:c r="C27" s="18" t="str">
        <x:v>Windows first</x:v>
      </x:c>
      <x:c r="D27" s="18" t="str">
        <x:v>Inventory startup entries and link to safe disable controls</x:v>
      </x:c>
      <x:c r="E27" s="18" t="str">
        <x:v>Medium</x:v>
      </x:c>
      <x:c r="F27" s="18" t="str">
        <x:v>Privileges and platform-specific startup mechanisms</x:v>
      </x:c>
      <x:c r="G27" s="18" t="str">
        <x:v>Phase 4</x:v>
      </x:c>
      <x:c r="H27" s="18" t="str">
        <x:v>Medium</x:v>
      </x:c>
    </x:row>
    <x:row r="28">
      <x:c r="A28" s="18" t="str">
        <x:v>Phishing Screenshot Analyzer</x:v>
      </x:c>
      <x:c r="B28" s="18" t="str">
        <x:v>Security and Privacy</x:v>
      </x:c>
      <x:c r="C28" s="18" t="str">
        <x:v>Android + iOS</x:v>
      </x:c>
      <x:c r="D28" s="18" t="str">
        <x:v>On-device OCR plus clearly qualified suspicious-signal review</x:v>
      </x:c>
      <x:c r="E28" s="18" t="str">
        <x:v>Medium</x:v>
      </x:c>
      <x:c r="F28" s="18" t="str">
        <x:v>Model quality, private content, and false reassurance</x:v>
      </x:c>
      <x:c r="G28" s="18" t="str">
        <x:v>Phase 4</x:v>
      </x:c>
      <x:c r="H28" s="18" t="str">
        <x:v>Large</x:v>
      </x:c>
    </x:row>
    <x:row r="29">
      <x:c r="A29" s="18" t="str">
        <x:v>Cross-Device File Deduplicator</x:v>
      </x:c>
      <x:c r="B29" s="18" t="str">
        <x:v>Device Cleanup and Maintenance</x:v>
      </x:c>
      <x:c r="C29" s="18" t="str">
        <x:v>Desktop</x:v>
      </x:c>
      <x:c r="D29" s="18" t="str">
        <x:v>Hash user-selected locations and produce a reversible action plan</x:v>
      </x:c>
      <x:c r="E29" s="18" t="str">
        <x:v>Medium</x:v>
      </x:c>
      <x:c r="F29" s="18" t="str">
        <x:v>Performance, conflicts, filesystem access, and recovery</x:v>
      </x:c>
      <x:c r="G29" s="18" t="str">
        <x:v>Phase 4</x:v>
      </x:c>
      <x:c r="H29" s="18" t="str">
        <x:v>Large</x:v>
      </x:c>
    </x:row>
    <x:row r="30">
      <x:c r="A30" s="18" t="str">
        <x:v>Device Maintenance Dashboard</x:v>
      </x:c>
      <x:c r="B30" s="18" t="str">
        <x:v>Device Cleanup and Maintenance</x:v>
      </x:c>
      <x:c r="C30" s="18" t="str">
        <x:v>Android + Desktop</x:v>
      </x:c>
      <x:c r="D30" s="18" t="str">
        <x:v>Suite shell combining proven cleanup and security modules</x:v>
      </x:c>
      <x:c r="E30" s="18" t="str">
        <x:v>High</x:v>
      </x:c>
      <x:c r="F30" s="18" t="str">
        <x:v>Should follow focused products rather than lead them</x:v>
      </x:c>
      <x:c r="G30" s="18" t="str">
        <x:v>Phase 4</x:v>
      </x:c>
      <x:c r="H30" s="18" t="str">
        <x:v>Medium</x:v>
      </x:c>
    </x:row>
  </x:sheetData>
  <x:mergeCells>
    <x:mergeCell ref="A1:H1"/>
    <x:mergeCell ref="B3:H3"/>
    <x:mergeCell ref="B4:H4"/>
  </x:mergeCells>
  <x:conditionalFormatting sqref="E7:E30">
    <x:cfRule type="containsText" dxfId="3" priority="1" operator="containsText" text="High"/>
  </x:conditionalFormatting>
  <x:conditionalFormatting sqref="H7:H30">
    <x:cfRule type="containsText" dxfId="4" priority="2" operator="containsText" text="Large"/>
  </x:conditionalFormatting>
  <x:pageMargins left="0.7" right="0.7" top="0.75" bottom="0.75" header="0.3" footer="0.3"/>
  <x:tableParts count="1">
    <x:tablePart xmlns:r="http://schemas.openxmlformats.org/officeDocument/2006/relationships" r:id="R9be00ffcbf0149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20" hidden="0" customWidth="1"/>
    <x:col min="4" max="4" width="18" hidden="0" customWidth="1"/>
    <x:col min="5" max="5" width="58" hidden="0" customWidth="1"/>
  </x:cols>
  <x:sheetData>
    <x:row r="1" ht="34" customHeight="1">
      <x:c r="A1" s="21" t="str">
        <x:v>300-Product Security and Device Care Sector Map</x:v>
      </x:c>
      <x:c r="B1" s="21"/>
      <x:c r="C1" s="21"/>
      <x:c r="D1" s="21"/>
      <x:c r="E1" s="21"/>
    </x:row>
    <x:row r="3">
      <x:c r="A3" s="40" t="str">
        <x:v>Sector products</x:v>
      </x:c>
      <x:c r="B3" s="34" t="n">
        <x:v>300</x:v>
      </x:c>
      <x:c r="C3" s="42" t="str">
        <x:v>Sector families</x:v>
      </x:c>
      <x:c r="D3" s="34" t="n">
        <x:v>25</x:v>
      </x:c>
      <x:c r="E3" s="35" t="str">
        <x:v>12 products per family</x:v>
      </x:c>
    </x:row>
    <x:row r="4">
      <x:c r="A4" s="44" t="str">
        <x:v>Portfolio products</x:v>
      </x:c>
      <x:c r="B4" s="37" t="n">
        <x:v>912</x:v>
      </x:c>
      <x:c r="C4" s="46" t="str">
        <x:v>Portfolio families</x:v>
      </x:c>
      <x:c r="D4" s="37" t="n">
        <x:v>76</x:v>
      </x:c>
      <x:c r="E4" s="38" t="str">
        <x:v>Expanded without changing the scoring workflow</x:v>
      </x:c>
    </x:row>
    <x:row r="6">
      <x:c r="A6" s="24" t="str">
        <x:v>Family</x:v>
      </x:c>
      <x:c r="B6" s="24" t="str">
        <x:v>Primary wedge</x:v>
      </x:c>
      <x:c r="C6" s="24" t="str">
        <x:v>Recommended phase</x:v>
      </x:c>
      <x:c r="D6" s="24" t="str">
        <x:v>Typical effort</x:v>
      </x:c>
      <x:c r="E6" s="24" t="str">
        <x:v>Critical product boundary</x:v>
      </x:c>
    </x:row>
    <x:row r="7">
      <x:c r="A7" s="18" t="str">
        <x:v>IT and Cybersecurity</x:v>
      </x:c>
      <x:c r="B7" s="18" t="str">
        <x:v>Small-business IT records and operational controls</x:v>
      </x:c>
      <x:c r="C7" s="18" t="str">
        <x:v>Phase 2</x:v>
      </x:c>
      <x:c r="D7" s="18" t="str">
        <x:v>Medium</x:v>
      </x:c>
      <x:c r="E7" s="18" t="str">
        <x:v>Avoid presenting checklists as penetration testing</x:v>
      </x:c>
    </x:row>
    <x:row r="8">
      <x:c r="A8" s="18" t="str">
        <x:v>Security and Privacy</x:v>
      </x:c>
      <x:c r="B8" s="18" t="str">
        <x:v>Consumer-facing security and privacy utilities</x:v>
      </x:c>
      <x:c r="C8" s="18" t="str">
        <x:v>Phase 1</x:v>
      </x:c>
      <x:c r="D8" s="18" t="str">
        <x:v>Medium</x:v>
      </x:c>
      <x:c r="E8" s="18" t="str">
        <x:v>Use explainable findings and qualified claims</x:v>
      </x:c>
    </x:row>
    <x:row r="9">
      <x:c r="A9" s="18" t="str">
        <x:v>Device Cleanup and Maintenance</x:v>
      </x:c>
      <x:c r="B9" s="18" t="str">
        <x:v>Core mobile and desktop cleanup workflows</x:v>
      </x:c>
      <x:c r="C9" s="18" t="str">
        <x:v>Phase 1</x:v>
      </x:c>
      <x:c r="D9" s="18" t="str">
        <x:v>Medium</x:v>
      </x:c>
      <x:c r="E9" s="18" t="str">
        <x:v>Review-first deletion and platform sandbox limits</x:v>
      </x:c>
    </x:row>
    <x:row r="10">
      <x:c r="A10" s="18" t="str">
        <x:v>Mobile Storage and Media Cleanup</x:v>
      </x:c>
      <x:c r="B10" s="18" t="str">
        <x:v>High-frequency phone storage problems</x:v>
      </x:c>
      <x:c r="C10" s="18" t="str">
        <x:v>Phase 1</x:v>
      </x:c>
      <x:c r="D10" s="18" t="str">
        <x:v>Medium</x:v>
      </x:c>
      <x:c r="E10" s="18" t="str">
        <x:v>Media permissions and destructive-action safeguards</x:v>
      </x:c>
    </x:row>
    <x:row r="11">
      <x:c r="A11" s="18" t="str">
        <x:v>Desktop Cleanup and Optimization</x:v>
      </x:c>
      <x:c r="B11" s="18" t="str">
        <x:v>Windows-first storage and startup maintenance</x:v>
      </x:c>
      <x:c r="C11" s="18" t="str">
        <x:v>Phase 2</x:v>
      </x:c>
      <x:c r="D11" s="18" t="str">
        <x:v>Medium</x:v>
      </x:c>
      <x:c r="E11" s="18" t="str">
        <x:v>Signing, privileges, and OS-specific rules</x:v>
      </x:c>
    </x:row>
    <x:row r="12">
      <x:c r="A12" s="18" t="str">
        <x:v>Duplicate File Intelligence</x:v>
      </x:c>
      <x:c r="B12" s="18" t="str">
        <x:v>Exact and similarity-based deduplication</x:v>
      </x:c>
      <x:c r="C12" s="18" t="str">
        <x:v>Phase 2</x:v>
      </x:c>
      <x:c r="D12" s="18" t="str">
        <x:v>Large</x:v>
      </x:c>
      <x:c r="E12" s="18" t="str">
        <x:v>False matches, performance, quarantine, and recovery</x:v>
      </x:c>
    </x:row>
    <x:row r="13">
      <x:c r="A13" s="18" t="str">
        <x:v>App and Software Management</x:v>
      </x:c>
      <x:c r="B13" s="18" t="str">
        <x:v>Installed-app inventory, usage, and lifecycle</x:v>
      </x:c>
      <x:c r="C13" s="18" t="str">
        <x:v>Phase 2</x:v>
      </x:c>
      <x:c r="D13" s="18" t="str">
        <x:v>Medium</x:v>
      </x:c>
      <x:c r="E13" s="18" t="str">
        <x:v>Mobile data access differs sharply by platform</x:v>
      </x:c>
    </x:row>
    <x:row r="14">
      <x:c r="A14" s="18" t="str">
        <x:v>Privacy and Tracking Protection</x:v>
      </x:c>
      <x:c r="B14" s="18" t="str">
        <x:v>Permissions, metadata, and exposure reduction</x:v>
      </x:c>
      <x:c r="C14" s="18" t="str">
        <x:v>Phase 1</x:v>
      </x:c>
      <x:c r="D14" s="18" t="str">
        <x:v>Medium</x:v>
      </x:c>
      <x:c r="E14" s="18" t="str">
        <x:v>Privacy claims must match observable evidence</x:v>
      </x:c>
    </x:row>
    <x:row r="15">
      <x:c r="A15" s="18" t="str">
        <x:v>Identity and Account Security</x:v>
      </x:c>
      <x:c r="B15" s="18" t="str">
        <x:v>MFA, passkeys, recovery, and account inventory</x:v>
      </x:c>
      <x:c r="C15" s="18" t="str">
        <x:v>Phase 2</x:v>
      </x:c>
      <x:c r="D15" s="18" t="str">
        <x:v>Medium</x:v>
      </x:c>
      <x:c r="E15" s="18" t="str">
        <x:v>Minimize sensitive data and never collect credentials</x:v>
      </x:c>
    </x:row>
    <x:row r="16">
      <x:c r="A16" s="18" t="str">
        <x:v>Scam Phishing and Fraud Defense</x:v>
      </x:c>
      <x:c r="B16" s="18" t="str">
        <x:v>Consumer scam education, analysis, and evidence</x:v>
      </x:c>
      <x:c r="C16" s="18" t="str">
        <x:v>Phase 1</x:v>
      </x:c>
      <x:c r="D16" s="18" t="str">
        <x:v>Medium</x:v>
      </x:c>
      <x:c r="E16" s="18" t="str">
        <x:v>False reassurance and model/API accuracy</x:v>
      </x:c>
    </x:row>
    <x:row r="17">
      <x:c r="A17" s="18" t="str">
        <x:v>Home Network Security</x:v>
      </x:c>
      <x:c r="B17" s="18" t="str">
        <x:v>Router, device, and household network hygiene</x:v>
      </x:c>
      <x:c r="C17" s="18" t="str">
        <x:v>Phase 2</x:v>
      </x:c>
      <x:c r="D17" s="18" t="str">
        <x:v>Medium</x:v>
      </x:c>
      <x:c r="E17" s="18" t="str">
        <x:v>Local permissions and incomplete network visibility</x:v>
      </x:c>
    </x:row>
    <x:row r="18">
      <x:c r="A18" s="18" t="str">
        <x:v>Family and Child Online Safety</x:v>
      </x:c>
      <x:c r="B18" s="18" t="str">
        <x:v>Parent-guided safety plans and evidence tools</x:v>
      </x:c>
      <x:c r="C18" s="18" t="str">
        <x:v>Phase 2</x:v>
      </x:c>
      <x:c r="D18" s="18" t="str">
        <x:v>Medium</x:v>
      </x:c>
      <x:c r="E18" s="18" t="str">
        <x:v>Child privacy, consent, and sensitive evidence</x:v>
      </x:c>
    </x:row>
    <x:row r="19">
      <x:c r="A19" s="18" t="str">
        <x:v>Senior Digital Safety</x:v>
      </x:c>
      <x:c r="B19" s="18" t="str">
        <x:v>Simplified safety and caregiver-supported recovery</x:v>
      </x:c>
      <x:c r="C19" s="18" t="str">
        <x:v>Phase 1</x:v>
      </x:c>
      <x:c r="D19" s="18" t="str">
        <x:v>Small</x:v>
      </x:c>
      <x:c r="E19" s="18" t="str">
        <x:v>Accessibility and non-alarmist guidance</x:v>
      </x:c>
    </x:row>
    <x:row r="20">
      <x:c r="A20" s="18" t="str">
        <x:v>Small Business Cyber Hygiene</x:v>
      </x:c>
      <x:c r="B20" s="18" t="str">
        <x:v>Practical security operations for small teams</x:v>
      </x:c>
      <x:c r="C20" s="18" t="str">
        <x:v>Phase 2</x:v>
      </x:c>
      <x:c r="D20" s="18" t="str">
        <x:v>Medium</x:v>
      </x:c>
      <x:c r="E20" s="18" t="str">
        <x:v>Do not imply compliance certification</x:v>
      </x:c>
    </x:row>
    <x:row r="21">
      <x:c r="A21" s="18" t="str">
        <x:v>Website and Domain Security</x:v>
      </x:c>
      <x:c r="B21" s="18" t="str">
        <x:v>DNS, TLS, CMS, and web monitoring</x:v>
      </x:c>
      <x:c r="C21" s="18" t="str">
        <x:v>Phase 2</x:v>
      </x:c>
      <x:c r="D21" s="18" t="str">
        <x:v>Medium</x:v>
      </x:c>
      <x:c r="E21" s="18" t="str">
        <x:v>External scans need rate limits and careful findings</x:v>
      </x:c>
    </x:row>
    <x:row r="22">
      <x:c r="A22" s="18" t="str">
        <x:v>Cloud Backup and Recovery</x:v>
      </x:c>
      <x:c r="B22" s="18" t="str">
        <x:v>Backup coverage, testing, and recovery readiness</x:v>
      </x:c>
      <x:c r="C22" s="18" t="str">
        <x:v>Phase 2</x:v>
      </x:c>
      <x:c r="D22" s="18" t="str">
        <x:v>Medium</x:v>
      </x:c>
      <x:c r="E22" s="18" t="str">
        <x:v>Provider integrations and restore verification</x:v>
      </x:c>
    </x:row>
    <x:row r="23">
      <x:c r="A23" s="18" t="str">
        <x:v>Data Erasure and Device Transfer</x:v>
      </x:c>
      <x:c r="B23" s="18" t="str">
        <x:v>Safe resale, handoff, migration, and wiping</x:v>
      </x:c>
      <x:c r="C23" s="18" t="str">
        <x:v>Phase 2</x:v>
      </x:c>
      <x:c r="D23" s="18" t="str">
        <x:v>Medium</x:v>
      </x:c>
      <x:c r="E23" s="18" t="str">
        <x:v>Wipe verification and irreversible operations</x:v>
      </x:c>
    </x:row>
    <x:row r="24">
      <x:c r="A24" s="18" t="str">
        <x:v>Email and Messaging Security</x:v>
      </x:c>
      <x:c r="B24" s="18" t="str">
        <x:v>Sender, rule, attachment, and recovery checks</x:v>
      </x:c>
      <x:c r="C24" s="18" t="str">
        <x:v>Phase 2</x:v>
      </x:c>
      <x:c r="D24" s="18" t="str">
        <x:v>Medium</x:v>
      </x:c>
      <x:c r="E24" s="18" t="str">
        <x:v>Mailbox access and private-message handling</x:v>
      </x:c>
    </x:row>
    <x:row r="25">
      <x:c r="A25" s="18" t="str">
        <x:v>Browser Security and Privacy</x:v>
      </x:c>
      <x:c r="B25" s="18" t="str">
        <x:v>Extension, permission, cookie, and session tools</x:v>
      </x:c>
      <x:c r="C25" s="18" t="str">
        <x:v>Phase 1</x:v>
      </x:c>
      <x:c r="D25" s="18" t="str">
        <x:v>Small</x:v>
      </x:c>
      <x:c r="E25" s="18" t="str">
        <x:v>Browser store policies and limited extension APIs</x:v>
      </x:c>
    </x:row>
    <x:row r="26">
      <x:c r="A26" s="18" t="str">
        <x:v>IoT and Smart Home Security</x:v>
      </x:c>
      <x:c r="B26" s="18" t="str">
        <x:v>Connected-device inventory and access hygiene</x:v>
      </x:c>
      <x:c r="C26" s="18" t="str">
        <x:v>Phase 3</x:v>
      </x:c>
      <x:c r="D26" s="18" t="str">
        <x:v>Medium</x:v>
      </x:c>
      <x:c r="E26" s="18" t="str">
        <x:v>Fragmented vendors and limited device APIs</x:v>
      </x:c>
    </x:row>
    <x:row r="27">
      <x:c r="A27" s="18" t="str">
        <x:v>Developer and Repository Security</x:v>
      </x:c>
      <x:c r="B27" s="18" t="str">
        <x:v>Preflight checks, dependencies, CI, and evidence</x:v>
      </x:c>
      <x:c r="C27" s="18" t="str">
        <x:v>Phase 2</x:v>
      </x:c>
      <x:c r="D27" s="18" t="str">
        <x:v>Large</x:v>
      </x:c>
      <x:c r="E27" s="18" t="str">
        <x:v>Secret handling and constantly changing ecosystems</x:v>
      </x:c>
    </x:row>
    <x:row r="28">
      <x:c r="A28" s="18" t="str">
        <x:v>Security Compliance and Evidence</x:v>
      </x:c>
      <x:c r="B28" s="18" t="str">
        <x:v>Policies, controls, evidence, and remediation</x:v>
      </x:c>
      <x:c r="C28" s="18" t="str">
        <x:v>Phase 3</x:v>
      </x:c>
      <x:c r="D28" s="18" t="str">
        <x:v>Large</x:v>
      </x:c>
      <x:c r="E28" s="18" t="str">
        <x:v>Regulatory maintenance and no legal guarantees</x:v>
      </x:c>
    </x:row>
    <x:row r="29">
      <x:c r="A29" s="18" t="str">
        <x:v>Security Education and Simulation</x:v>
      </x:c>
      <x:c r="B29" s="18" t="str">
        <x:v>Training, drills, and habit-building content</x:v>
      </x:c>
      <x:c r="C29" s="18" t="str">
        <x:v>Phase 1</x:v>
      </x:c>
      <x:c r="D29" s="18" t="str">
        <x:v>Medium</x:v>
      </x:c>
      <x:c r="E29" s="18" t="str">
        <x:v>Content quality and measurable learning outcomes</x:v>
      </x:c>
    </x:row>
    <x:row r="30">
      <x:c r="A30" s="18" t="str">
        <x:v>Incident Response and Recovery</x:v>
      </x:c>
      <x:c r="B30" s="18" t="str">
        <x:v>Guided response, timelines, and recovery plans</x:v>
      </x:c>
      <x:c r="C30" s="18" t="str">
        <x:v>Phase 2</x:v>
      </x:c>
      <x:c r="D30" s="18" t="str">
        <x:v>Medium</x:v>
      </x:c>
      <x:c r="E30" s="18" t="str">
        <x:v>High-stress UX and jurisdiction-specific reporting</x:v>
      </x:c>
    </x:row>
    <x:row r="31">
      <x:c r="A31" s="18" t="str">
        <x:v>Device Diagnostics and Health</x:v>
      </x:c>
      <x:c r="B31" s="18" t="str">
        <x:v>Battery, storage, thermal, crash, and network health</x:v>
      </x:c>
      <x:c r="C31" s="18" t="str">
        <x:v>Phase 1</x:v>
      </x:c>
      <x:c r="D31" s="18" t="str">
        <x:v>Medium</x:v>
      </x:c>
      <x:c r="E31" s="18" t="str">
        <x:v>Hardware readings vary by platform and device</x:v>
      </x:c>
    </x:row>
  </x:sheetData>
  <x:mergeCells>
    <x:mergeCell ref="A1:E1"/>
  </x:mergeCells>
  <x:conditionalFormatting sqref="C7:C31">
    <x:cfRule type="containsText" dxfId="5" priority="1" operator="containsText" text="Phase 1"/>
  </x:conditionalFormatting>
  <x:conditionalFormatting sqref="D7:D31">
    <x:cfRule type="containsText" dxfId="6" priority="2" operator="containsText" text="Large"/>
  </x:conditionalFormatting>
  <x:pageMargins left="0.7" right="0.7" top="0.75" bottom="0.75" header="0.3" footer="0.3"/>
  <x:tableParts count="1">
    <x:tablePart xmlns:r="http://schemas.openxmlformats.org/officeDocument/2006/relationships" r:id="R77f772308eab45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48" hidden="0" customWidth="1"/>
  </x:cols>
  <x:sheetData>
    <x:row r="1">
      <x:c r="A1" s="14" t="str">
        <x:v>Shared engine</x:v>
      </x:c>
      <x:c r="B1" s="14" t="str">
        <x:v>Primary capabilities</x:v>
      </x:c>
      <x:c r="C1" s="14" t="str">
        <x:v>Likely consumers</x:v>
      </x:c>
    </x:row>
    <x:row r="2">
      <x:c r="A2" s="18" t="str">
        <x:v>Core UI and design tokens</x:v>
      </x:c>
      <x:c r="B2" s="18" t="str">
        <x:v>Themes, components, accessibility, navigation</x:v>
      </x:c>
      <x:c r="C2" s="18" t="str">
        <x:v>All products</x:v>
      </x:c>
    </x:row>
    <x:row r="3">
      <x:c r="A3" s="18" t="str">
        <x:v>Storage and recovery</x:v>
      </x:c>
      <x:c r="B3" s="18" t="str">
        <x:v>Local database, backups, migrations, import/export</x:v>
      </x:c>
      <x:c r="C3" s="18" t="str">
        <x:v>All apps and SaaS</x:v>
      </x:c>
    </x:row>
    <x:row r="4">
      <x:c r="A4" s="18" t="str">
        <x:v>Estimator</x:v>
      </x:c>
      <x:c r="B4" s="18" t="str">
        <x:v>Units, formulas, ranges, pricing, waste, saved jobs</x:v>
      </x:c>
      <x:c r="C4" s="18" t="str">
        <x:v>Construction, energy, vehicle, finance</x:v>
      </x:c>
    </x:row>
    <x:row r="5">
      <x:c r="A5" s="18" t="str">
        <x:v>Inspection</x:v>
      </x:c>
      <x:c r="B5" s="18" t="str">
        <x:v>Templates, answers, severity, evidence, signatures</x:v>
      </x:c>
      <x:c r="C5" s="18" t="str">
        <x:v>Inspection, property, safety, trades</x:v>
      </x:c>
    </x:row>
    <x:row r="6">
      <x:c r="A6" s="18" t="str">
        <x:v>Reports</x:v>
      </x:c>
      <x:c r="B6" s="18" t="str">
        <x:v>PDF, CSV, branded reports, sharing, customer approval</x:v>
      </x:c>
      <x:c r="C6" s="18" t="str">
        <x:v>Field service, compliance, insurance</x:v>
      </x:c>
    </x:row>
    <x:row r="7">
      <x:c r="A7" s="18" t="str">
        <x:v>Camera and evidence</x:v>
      </x:c>
      <x:c r="B7" s="18" t="str">
        <x:v>Guided capture, annotation, timestamps, quality checks</x:v>
      </x:c>
      <x:c r="C7" s="18" t="str">
        <x:v>Measurement, inspection, claims</x:v>
      </x:c>
    </x:row>
    <x:row r="8">
      <x:c r="A8" s="18" t="str">
        <x:v>Sensors and location</x:v>
      </x:c>
      <x:c r="B8" s="18" t="str">
        <x:v>Compass, level, GPS, signal, light, sound</x:v>
      </x:c>
      <x:c r="C8" s="18" t="str">
        <x:v>Outdoor, utilities, vehicle</x:v>
      </x:c>
    </x:row>
    <x:row r="9">
      <x:c r="A9" s="18" t="str">
        <x:v>Inventory and assets</x:v>
      </x:c>
      <x:c r="B9" s="18" t="str">
        <x:v>Items, QR codes, serials, checkout, cycle counts</x:v>
      </x:c>
      <x:c r="C9" s="18" t="str">
        <x:v>Home, business, equipment</x:v>
      </x:c>
    </x:row>
    <x:row r="10">
      <x:c r="A10" s="18" t="str">
        <x:v>Scheduling and reminders</x:v>
      </x:c>
      <x:c r="B10" s="18" t="str">
        <x:v>Recurring work, deadlines, notifications, renewals</x:v>
      </x:c>
      <x:c r="C10" s="18" t="str">
        <x:v>Maintenance, compliance, appointments</x:v>
      </x:c>
    </x:row>
    <x:row r="11">
      <x:c r="A11" s="18" t="str">
        <x:v>Commercial</x:v>
      </x:c>
      <x:c r="B11" s="18" t="str">
        <x:v>Ads, billing, subscriptions, entitlements, reviews</x:v>
      </x:c>
      <x:c r="C11" s="18" t="str">
        <x:v>All monetized products</x:v>
      </x:c>
    </x:row>
    <x:row r="12">
      <x:c r="A12" s="18" t="str">
        <x:v>Accounts and sync</x:v>
      </x:c>
      <x:c r="B12" s="18" t="str">
        <x:v>Authentication, teams, roles, cloud sync</x:v>
      </x:c>
      <x:c r="C12" s="18" t="str">
        <x:v>SaaS and multi-user apps</x:v>
      </x:c>
    </x:row>
    <x:row r="13">
      <x:c r="A13" s="18" t="str">
        <x:v>Marketplace connectors</x:v>
      </x:c>
      <x:c r="B13" s="18" t="str">
        <x:v>Search, alerts, listings, fees, inventory</x:v>
      </x:c>
      <x:c r="C13" s="18" t="str">
        <x:v>eBay and resale products</x:v>
      </x:c>
    </x:row>
    <x:row r="14">
      <x:c r="A14" s="18" t="str">
        <x:v>WordPress scanning</x:v>
      </x:c>
      <x:c r="B14" s="18" t="str">
        <x:v>Content inventory, bulk operations, reports</x:v>
      </x:c>
      <x:c r="C14" s="18" t="str">
        <x:v>WordPress product families</x:v>
      </x:c>
    </x:row>
    <x:row r="15">
      <x:c r="A15" s="18" t="str">
        <x:v>Analytics and SEO</x:v>
      </x:c>
      <x:c r="B15" s="18" t="str">
        <x:v>Metrics, structured data, local search, reports</x:v>
      </x:c>
      <x:c r="C15" s="18" t="str">
        <x:v>Websites and business growth</x:v>
      </x:c>
    </x:row>
    <x:row r="16">
      <x:c r="A16" s="18" t="str">
        <x:v>Security and privacy audit</x:v>
      </x:c>
      <x:c r="B16" s="18" t="str">
        <x:v>Permission inventory, explainable checks, safe-link analysis, privacy guidance</x:v>
      </x:c>
      <x:c r="C16" s="18" t="str">
        <x:v>Security, privacy, and device-care products</x:v>
      </x:c>
    </x:row>
    <x:row r="17">
      <x:c r="A17" s="18" t="str">
        <x:v>Device storage analysis</x:v>
      </x:c>
      <x:c r="B17" s="18" t="str">
        <x:v>File indexing, media metadata, hashing, duplicate detection, deletion previews, restore logs</x:v>
      </x:c>
      <x:c r="C17" s="18" t="str">
        <x:v>Phone and desktop cleanup products</x:v>
      </x:c>
    </x:row>
    <x:row r="18">
      <x:c r="A18" s="18" t="str">
        <x:v>File similarity and safety</x:v>
      </x:c>
      <x:c r="B18" s="18" t="str">
        <x:v>Exact hashing, perceptual similarity, quarantine, undo logs, destructive-action safeguards</x:v>
      </x:c>
      <x:c r="C18" s="18" t="str">
        <x:v>Duplicate, media, migration, and erasure products</x:v>
      </x:c>
    </x:row>
    <x:row r="19">
      <x:c r="A19" s="18" t="str">
        <x:v>Network and device discovery</x:v>
      </x:c>
      <x:c r="B19" s="18" t="str">
        <x:v>Local discovery, device identity, router observations, change tracking</x:v>
      </x:c>
      <x:c r="C19" s="18" t="str">
        <x:v>Home network, IoT, and IT products</x:v>
      </x:c>
    </x:row>
    <x:row r="20">
      <x:c r="A20" s="18" t="str">
        <x:v>Threat intelligence and content safety</x:v>
      </x:c>
      <x:c r="B20" s="18" t="str">
        <x:v>URL parsing, reputation providers, OCR, suspicious-signal explanations</x:v>
      </x:c>
      <x:c r="C20" s="18" t="str">
        <x:v>Scam, phishing, email, and browser products</x:v>
      </x:c>
    </x:row>
    <x:row r="21">
      <x:c r="A21" s="18" t="str">
        <x:v>Security evidence and response</x:v>
      </x:c>
      <x:c r="B21" s="18" t="str">
        <x:v>Evidence timelines, control records, response plans, reports, retention</x:v>
      </x:c>
      <x:c r="C21" s="18" t="str">
        <x:v>Compliance, incident, insurance, and business products</x:v>
      </x:c>
    </x:row>
    <x:row r="22">
      <x:c r="A22" s="18" t="str">
        <x:v>Platform diagnostics</x:v>
      </x:c>
      <x:c r="B22" s="18" t="str">
        <x:v>Battery, storage, thermal, crash, network, and software lifecycle observations</x:v>
      </x:c>
      <x:c r="C22" s="18" t="str">
        <x:v>Device health, maintenance, and IT products</x:v>
      </x:c>
    </x:row>
    <x:row r="23">
      <x:c r="A23" s="18" t="str">
        <x:v>Fashion image preview</x:v>
      </x:c>
      <x:c r="B23" s="18" t="str">
        <x:v>Person segmentation, garment cutouts, pose-aware overlays, closet metadata, before-after previews</x:v>
      </x:c>
      <x:c r="C23" s="18" t="str">
        <x:v>Fashion, resale, creator, and shopping products</x:v>
      </x:c>
    </x:row>
    <x:row r="24">
      <x:c r="A24" s="18" t="str">
        <x:v>Testing fixtures</x:v>
      </x:c>
      <x:c r="B24" s="18" t="str">
        <x:v>Simulated sensors, images, sample jobs, regression suites</x:v>
      </x:c>
      <x:c r="C24" s="18" t="str">
        <x:v>Every shared module</x:v>
      </x:c>
    </x:row>
    <x:row r="25">
      <x:c r="A25" s="18" t="str">
        <x:v>Release automation</x:v>
      </x:c>
      <x:c r="B25" s="18" t="str">
        <x:v>Build, lint, signing checks, packages, readiness reports</x:v>
      </x:c>
      <x:c r="C25" s="18" t="str">
        <x:v>Every repository</x:v>
      </x:c>
    </x:row>
  </x:sheetData>
  <x:pageMargins left="0.7" right="0.7" top="0.75" bottom="0.75" header="0.3" footer="0.3"/>
  <x:tableParts count="1">
    <x:tablePart xmlns:r="http://schemas.openxmlformats.org/officeDocument/2006/relationships" r:id="R66baa0e65cc341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68" hidden="0" customWidth="1"/>
  </x:cols>
  <x:sheetData>
    <x:row r="1">
      <x:c r="A1" s="14" t="str">
        <x:v>Review field</x:v>
      </x:c>
      <x:c r="B1" s="14" t="str">
        <x:v>Score / choice</x:v>
      </x:c>
      <x:c r="C1" s="14" t="str">
        <x:v>Meaning</x:v>
      </x:c>
    </x:row>
    <x:row r="2">
      <x:c r="A2" t="str">
        <x:v>Demand</x:v>
      </x:c>
      <x:c r="B2" t="str">
        <x:v>1</x:v>
      </x:c>
      <x:c r="C2" s="25" t="str">
        <x:v>Little evidence that users actively seek the solution</x:v>
      </x:c>
    </x:row>
    <x:row r="3">
      <x:c r="A3" t="str">
        <x:v>Demand</x:v>
      </x:c>
      <x:c r="B3" t="str">
        <x:v>3</x:v>
      </x:c>
      <x:c r="C3" s="25" t="str">
        <x:v>Plausible audience with visible pain or search intent</x:v>
      </x:c>
    </x:row>
    <x:row r="4">
      <x:c r="A4" t="str">
        <x:v>Demand</x:v>
      </x:c>
      <x:c r="B4" t="str">
        <x:v>5</x:v>
      </x:c>
      <x:c r="C4" s="25" t="str">
        <x:v>Frequent, expensive, or urgent problem with strong intent</x:v>
      </x:c>
    </x:row>
    <x:row r="5">
      <x:c r="A5" t="str">
        <x:v>Differentiation</x:v>
      </x:c>
      <x:c r="B5" t="str">
        <x:v>1</x:v>
      </x:c>
      <x:c r="C5" s="25" t="str">
        <x:v>Crowded and difficult to distinguish</x:v>
      </x:c>
    </x:row>
    <x:row r="6">
      <x:c r="A6" t="str">
        <x:v>Differentiation</x:v>
      </x:c>
      <x:c r="B6" t="str">
        <x:v>3</x:v>
      </x:c>
      <x:c r="C6" s="25" t="str">
        <x:v>Clear niche workflow or audience</x:v>
      </x:c>
    </x:row>
    <x:row r="7">
      <x:c r="A7" t="str">
        <x:v>Differentiation</x:v>
      </x:c>
      <x:c r="B7" t="str">
        <x:v>5</x:v>
      </x:c>
      <x:c r="C7" s="25" t="str">
        <x:v>Distinct workflow, data, or distribution advantage</x:v>
      </x:c>
    </x:row>
    <x:row r="8">
      <x:c r="A8" t="str">
        <x:v>Monetization</x:v>
      </x:c>
      <x:c r="B8" t="str">
        <x:v>1</x:v>
      </x:c>
      <x:c r="C8" s="25" t="str">
        <x:v>Weak willingness to pay and limited ad volume</x:v>
      </x:c>
    </x:row>
    <x:row r="9">
      <x:c r="A9" t="str">
        <x:v>Monetization</x:v>
      </x:c>
      <x:c r="B9" t="str">
        <x:v>3</x:v>
      </x:c>
      <x:c r="C9" s="25" t="str">
        <x:v>Reasonable Pro upgrade or modest subscription</x:v>
      </x:c>
    </x:row>
    <x:row r="10">
      <x:c r="A10" t="str">
        <x:v>Monetization</x:v>
      </x:c>
      <x:c r="B10" t="str">
        <x:v>5</x:v>
      </x:c>
      <x:c r="C10" s="25" t="str">
        <x:v>Clear business ROI or recurring value</x:v>
      </x:c>
    </x:row>
    <x:row r="11">
      <x:c r="A11" t="str">
        <x:v>SDK Reuse</x:v>
      </x:c>
      <x:c r="B11" t="str">
        <x:v>1</x:v>
      </x:c>
      <x:c r="C11" s="25" t="str">
        <x:v>Mostly new architecture and specialized code</x:v>
      </x:c>
    </x:row>
    <x:row r="12">
      <x:c r="A12" t="str">
        <x:v>SDK Reuse</x:v>
      </x:c>
      <x:c r="B12" t="str">
        <x:v>3</x:v>
      </x:c>
      <x:c r="C12" s="25" t="str">
        <x:v>Uses several existing modules</x:v>
      </x:c>
    </x:row>
    <x:row r="13">
      <x:c r="A13" t="str">
        <x:v>SDK Reuse</x:v>
      </x:c>
      <x:c r="B13" t="str">
        <x:v>5</x:v>
      </x:c>
      <x:c r="C13" s="25" t="str">
        <x:v>Mostly configuration and product-specific workflow</x:v>
      </x:c>
    </x:row>
    <x:row r="14">
      <x:c r="A14" t="str">
        <x:v>Maintenance Ease</x:v>
      </x:c>
      <x:c r="B14" t="str">
        <x:v>1</x:v>
      </x:c>
      <x:c r="C14" s="25" t="str">
        <x:v>Heavy APIs, compliance, support, or physical testing</x:v>
      </x:c>
    </x:row>
    <x:row r="15">
      <x:c r="A15" t="str">
        <x:v>Maintenance Ease</x:v>
      </x:c>
      <x:c r="B15" t="str">
        <x:v>3</x:v>
      </x:c>
      <x:c r="C15" s="25" t="str">
        <x:v>Manageable dependencies and periodic testing</x:v>
      </x:c>
    </x:row>
    <x:row r="16">
      <x:c r="A16" t="str">
        <x:v>Maintenance Ease</x:v>
      </x:c>
      <x:c r="B16" t="str">
        <x:v>5</x:v>
      </x:c>
      <x:c r="C16" s="25" t="str">
        <x:v>Offline, deterministic, low-support product</x:v>
      </x:c>
    </x:row>
    <x:row r="17">
      <x:c r="A17" t="str">
        <x:v>Decision</x:v>
      </x:c>
      <x:c r="B17" t="str">
        <x:v>Build</x:v>
      </x:c>
      <x:c r="C17" s="25" t="str">
        <x:v>Approved for roadmap consideration</x:v>
      </x:c>
    </x:row>
    <x:row r="18">
      <x:c r="A18" t="str">
        <x:v>Decision</x:v>
      </x:c>
      <x:c r="B18" t="str">
        <x:v>Wait</x:v>
      </x:c>
      <x:c r="C18" s="25" t="str">
        <x:v>Promising but missing timing, data, or capability</x:v>
      </x:c>
    </x:row>
    <x:row r="19">
      <x:c r="A19" t="str">
        <x:v>Decision</x:v>
      </x:c>
      <x:c r="B19" t="str">
        <x:v>Merge</x:v>
      </x:c>
      <x:c r="C19" s="25" t="str">
        <x:v>Belongs inside another product or suite</x:v>
      </x:c>
    </x:row>
    <x:row r="20">
      <x:c r="A20" t="str">
        <x:v>Decision</x:v>
      </x:c>
      <x:c r="B20" t="str">
        <x:v>Pass</x:v>
      </x:c>
      <x:c r="C20" s="25" t="str">
        <x:v>Do not pursue unless new evidence appears</x:v>
      </x:c>
    </x:row>
  </x:sheetData>
  <x:pageMargins left="0.7" right="0.7" top="0.75" bottom="0.75" header="0.3" footer="0.3"/>
  <x:tableParts count="1">
    <x:tablePart xmlns:r="http://schemas.openxmlformats.org/officeDocument/2006/relationships" r:id="R0d40af3e20194735"/>
  </x:tableParts>
</x:worksheet>
</file>